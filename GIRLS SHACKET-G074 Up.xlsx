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KHOKON SIR\TOTAL CUTTING SUMMARY\CUTTING SUMMARY-2026\GREEN SOURCE\"/>
    </mc:Choice>
  </mc:AlternateContent>
  <xr:revisionPtr revIDLastSave="0" documentId="8_{40954A8B-3C69-D64B-94F2-7F35C6999A4F}" xr6:coauthVersionLast="47" xr6:coauthVersionMax="47" xr10:uidLastSave="{00000000-0000-0000-0000-000000000000}"/>
  <bookViews>
    <workbookView xWindow="-120" yWindow="-120" windowWidth="20730" windowHeight="11160" tabRatio="534" firstSheet="2" xr2:uid="{00000000-000D-0000-FFFF-FFFF00000000}"/>
  </bookViews>
  <sheets>
    <sheet name="1ST ORDER" sheetId="32" r:id="rId1"/>
    <sheet name="2ND ORDER" sheetId="33" r:id="rId2"/>
    <sheet name="ANTIQUE ROSE" sheetId="30" r:id="rId3"/>
    <sheet name="HEART PARADE" sheetId="29" r:id="rId4"/>
    <sheet name="WANDER IKAT" sheetId="28" r:id="rId5"/>
    <sheet name="WILD ONE" sheetId="12" r:id="rId6"/>
  </sheets>
  <definedNames>
    <definedName name="_xlnm.Print_Area" localSheetId="0">'1ST ORDER'!$A$1:$N$36</definedName>
    <definedName name="_xlnm.Print_Area" localSheetId="1">'2ND ORDER'!$A$1:$N$36</definedName>
    <definedName name="_xlnm.Print_Area" localSheetId="2">'ANTIQUE ROSE'!$A$1:$R$211</definedName>
    <definedName name="_xlnm.Print_Area" localSheetId="3">'HEART PARADE'!$A$1:$R$241</definedName>
    <definedName name="_xlnm.Print_Area" localSheetId="4">'WANDER IKAT'!$A$1:$R$261</definedName>
    <definedName name="_xlnm.Print_Area" localSheetId="5">'WILD ONE'!$A$1:$R$247</definedName>
    <definedName name="_xlnm.Print_Titles" localSheetId="2">'ANTIQUE ROSE'!$1:$1</definedName>
    <definedName name="_xlnm.Print_Titles" localSheetId="3">'HEART PARADE'!$1:$1</definedName>
    <definedName name="_xlnm.Print_Titles" localSheetId="4">'WANDER IKAT'!$1:$1</definedName>
    <definedName name="_xlnm.Print_Titles" localSheetId="5">'WILD ONE'!$1:$1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2" l="1"/>
  <c r="P231" i="12"/>
  <c r="Q231" i="12"/>
  <c r="Q232" i="12"/>
  <c r="P232" i="12"/>
  <c r="K194" i="30"/>
  <c r="P194" i="30"/>
  <c r="Q194" i="30"/>
  <c r="K247" i="28"/>
  <c r="L247" i="28"/>
  <c r="M247" i="28"/>
  <c r="N247" i="28"/>
  <c r="O247" i="28"/>
  <c r="P247" i="28"/>
  <c r="Q247" i="28"/>
  <c r="P193" i="30"/>
  <c r="Q193" i="30"/>
  <c r="K193" i="30"/>
  <c r="K192" i="30"/>
  <c r="P192" i="30"/>
  <c r="Q192" i="30"/>
  <c r="P195" i="30"/>
  <c r="Q195" i="30"/>
  <c r="P196" i="30"/>
  <c r="Q196" i="30"/>
  <c r="P197" i="30"/>
  <c r="Q197" i="30"/>
  <c r="P198" i="30"/>
  <c r="Q198" i="30"/>
  <c r="P199" i="30"/>
  <c r="Q199" i="30"/>
  <c r="P230" i="12"/>
  <c r="Q230" i="12"/>
  <c r="P229" i="12"/>
  <c r="Q229" i="12"/>
  <c r="P233" i="12"/>
  <c r="Q233" i="12"/>
  <c r="P234" i="12"/>
  <c r="Q234" i="12"/>
  <c r="P228" i="12"/>
  <c r="K246" i="28"/>
  <c r="L246" i="28"/>
  <c r="M246" i="28"/>
  <c r="N246" i="28"/>
  <c r="O246" i="28"/>
  <c r="P246" i="28"/>
  <c r="Q246" i="28"/>
  <c r="K191" i="30"/>
  <c r="P191" i="30"/>
  <c r="K190" i="30"/>
  <c r="P190" i="30"/>
  <c r="K245" i="28"/>
  <c r="L245" i="28"/>
  <c r="M245" i="28"/>
  <c r="N245" i="28"/>
  <c r="P245" i="28"/>
  <c r="Q245" i="28"/>
  <c r="O245" i="28"/>
  <c r="K244" i="28"/>
  <c r="L244" i="28"/>
  <c r="M244" i="28"/>
  <c r="N244" i="28"/>
  <c r="P244" i="28"/>
  <c r="Q244" i="28"/>
  <c r="O244" i="28"/>
  <c r="K243" i="28"/>
  <c r="L243" i="28"/>
  <c r="M243" i="28"/>
  <c r="N243" i="28"/>
  <c r="O243" i="28"/>
  <c r="P227" i="12"/>
  <c r="K242" i="28"/>
  <c r="L242" i="28"/>
  <c r="M242" i="28"/>
  <c r="N242" i="28"/>
  <c r="O242" i="28"/>
  <c r="K226" i="29"/>
  <c r="L226" i="29"/>
  <c r="M226" i="29"/>
  <c r="N226" i="29"/>
  <c r="P226" i="29"/>
  <c r="Q226" i="29"/>
  <c r="O226" i="29"/>
  <c r="K189" i="30"/>
  <c r="P189" i="30"/>
  <c r="P226" i="12"/>
  <c r="K241" i="28"/>
  <c r="P241" i="28"/>
  <c r="L241" i="28"/>
  <c r="M241" i="28"/>
  <c r="N241" i="28"/>
  <c r="O241" i="28"/>
  <c r="P225" i="29"/>
  <c r="Q225" i="29"/>
  <c r="O225" i="29"/>
  <c r="N225" i="29"/>
  <c r="M225" i="29"/>
  <c r="L225" i="29"/>
  <c r="K225" i="29"/>
  <c r="O223" i="29"/>
  <c r="N223" i="29"/>
  <c r="M223" i="29"/>
  <c r="L223" i="29"/>
  <c r="K223" i="29"/>
  <c r="K224" i="29"/>
  <c r="L224" i="29"/>
  <c r="M224" i="29"/>
  <c r="N224" i="29"/>
  <c r="P224" i="29"/>
  <c r="O224" i="29"/>
  <c r="K222" i="29"/>
  <c r="L222" i="29"/>
  <c r="M222" i="29"/>
  <c r="N222" i="29"/>
  <c r="O222" i="29"/>
  <c r="P222" i="29"/>
  <c r="Q222" i="29"/>
  <c r="P223" i="29"/>
  <c r="Q223" i="29"/>
  <c r="P229" i="29"/>
  <c r="Q229" i="29"/>
  <c r="P227" i="29"/>
  <c r="Q227" i="29"/>
  <c r="P228" i="29"/>
  <c r="Q228" i="29"/>
  <c r="K236" i="28"/>
  <c r="L236" i="28"/>
  <c r="M236" i="28"/>
  <c r="N236" i="28"/>
  <c r="O236" i="28"/>
  <c r="K237" i="28"/>
  <c r="P237" i="28"/>
  <c r="L237" i="28"/>
  <c r="M237" i="28"/>
  <c r="N237" i="28"/>
  <c r="O237" i="28"/>
  <c r="K238" i="28"/>
  <c r="L238" i="28"/>
  <c r="M238" i="28"/>
  <c r="N238" i="28"/>
  <c r="O238" i="28"/>
  <c r="K239" i="28"/>
  <c r="L239" i="28"/>
  <c r="M239" i="28"/>
  <c r="N239" i="28"/>
  <c r="O239" i="28"/>
  <c r="K240" i="28"/>
  <c r="L240" i="28"/>
  <c r="M240" i="28"/>
  <c r="N240" i="28"/>
  <c r="O240" i="28"/>
  <c r="P248" i="28"/>
  <c r="Q248" i="28"/>
  <c r="P249" i="28"/>
  <c r="Q249" i="28"/>
  <c r="K185" i="30"/>
  <c r="P185" i="30"/>
  <c r="K186" i="30"/>
  <c r="P186" i="30"/>
  <c r="K187" i="30"/>
  <c r="P187" i="30"/>
  <c r="K188" i="30"/>
  <c r="P188" i="30"/>
  <c r="K235" i="28"/>
  <c r="L235" i="28"/>
  <c r="M235" i="28"/>
  <c r="N235" i="28"/>
  <c r="O235" i="28"/>
  <c r="K233" i="28"/>
  <c r="L233" i="28"/>
  <c r="M233" i="28"/>
  <c r="N233" i="28"/>
  <c r="O233" i="28"/>
  <c r="K234" i="28"/>
  <c r="L234" i="28"/>
  <c r="M234" i="28"/>
  <c r="N234" i="28"/>
  <c r="O234" i="28"/>
  <c r="K184" i="30"/>
  <c r="P184" i="30"/>
  <c r="K220" i="29"/>
  <c r="L220" i="29"/>
  <c r="M220" i="29"/>
  <c r="N220" i="29"/>
  <c r="O220" i="29"/>
  <c r="K221" i="29"/>
  <c r="L221" i="29"/>
  <c r="M221" i="29"/>
  <c r="N221" i="29"/>
  <c r="O221" i="29"/>
  <c r="K227" i="28"/>
  <c r="L227" i="28"/>
  <c r="M227" i="28"/>
  <c r="N227" i="28"/>
  <c r="O227" i="28"/>
  <c r="K228" i="28"/>
  <c r="L228" i="28"/>
  <c r="M228" i="28"/>
  <c r="N228" i="28"/>
  <c r="O228" i="28"/>
  <c r="K229" i="28"/>
  <c r="L229" i="28"/>
  <c r="M229" i="28"/>
  <c r="N229" i="28"/>
  <c r="O229" i="28"/>
  <c r="K230" i="28"/>
  <c r="L230" i="28"/>
  <c r="M230" i="28"/>
  <c r="N230" i="28"/>
  <c r="O230" i="28"/>
  <c r="K231" i="28"/>
  <c r="L231" i="28"/>
  <c r="M231" i="28"/>
  <c r="N231" i="28"/>
  <c r="O231" i="28"/>
  <c r="K232" i="28"/>
  <c r="L232" i="28"/>
  <c r="M232" i="28"/>
  <c r="N232" i="28"/>
  <c r="O232" i="28"/>
  <c r="P225" i="12"/>
  <c r="P224" i="12"/>
  <c r="P235" i="12"/>
  <c r="Q235" i="12"/>
  <c r="K182" i="30"/>
  <c r="P182" i="30"/>
  <c r="K183" i="30"/>
  <c r="P183" i="30"/>
  <c r="K218" i="29"/>
  <c r="L218" i="29"/>
  <c r="M218" i="29"/>
  <c r="N218" i="29"/>
  <c r="O218" i="29"/>
  <c r="K219" i="29"/>
  <c r="L219" i="29"/>
  <c r="M219" i="29"/>
  <c r="N219" i="29"/>
  <c r="O219" i="29"/>
  <c r="K224" i="28"/>
  <c r="L224" i="28"/>
  <c r="M224" i="28"/>
  <c r="N224" i="28"/>
  <c r="O224" i="28"/>
  <c r="K225" i="28"/>
  <c r="L225" i="28"/>
  <c r="M225" i="28"/>
  <c r="N225" i="28"/>
  <c r="O225" i="28"/>
  <c r="K226" i="28"/>
  <c r="L226" i="28"/>
  <c r="M226" i="28"/>
  <c r="N226" i="28"/>
  <c r="O226" i="28"/>
  <c r="K180" i="30"/>
  <c r="P180" i="30"/>
  <c r="K181" i="30"/>
  <c r="P181" i="30"/>
  <c r="K217" i="29"/>
  <c r="P217" i="29"/>
  <c r="L217" i="29"/>
  <c r="M217" i="29"/>
  <c r="N217" i="29"/>
  <c r="O217" i="29"/>
  <c r="K215" i="29"/>
  <c r="L215" i="29"/>
  <c r="M215" i="29"/>
  <c r="N215" i="29"/>
  <c r="O215" i="29"/>
  <c r="K216" i="29"/>
  <c r="L216" i="29"/>
  <c r="M216" i="29"/>
  <c r="N216" i="29"/>
  <c r="O216" i="29"/>
  <c r="K222" i="28"/>
  <c r="L222" i="28"/>
  <c r="M222" i="28"/>
  <c r="N222" i="28"/>
  <c r="O222" i="28"/>
  <c r="K223" i="28"/>
  <c r="L223" i="28"/>
  <c r="M223" i="28"/>
  <c r="N223" i="28"/>
  <c r="O223" i="28"/>
  <c r="P223" i="12"/>
  <c r="K177" i="30"/>
  <c r="P177" i="30"/>
  <c r="K178" i="30"/>
  <c r="P178" i="30"/>
  <c r="K179" i="30"/>
  <c r="P179" i="30"/>
  <c r="K221" i="28"/>
  <c r="L221" i="28"/>
  <c r="M221" i="28"/>
  <c r="N221" i="28"/>
  <c r="O221" i="28"/>
  <c r="K217" i="28"/>
  <c r="L217" i="28"/>
  <c r="M217" i="28"/>
  <c r="N217" i="28"/>
  <c r="O217" i="28"/>
  <c r="K218" i="28"/>
  <c r="L218" i="28"/>
  <c r="M218" i="28"/>
  <c r="N218" i="28"/>
  <c r="O218" i="28"/>
  <c r="K219" i="28"/>
  <c r="L219" i="28"/>
  <c r="M219" i="28"/>
  <c r="N219" i="28"/>
  <c r="O219" i="28"/>
  <c r="K220" i="28"/>
  <c r="L220" i="28"/>
  <c r="M220" i="28"/>
  <c r="N220" i="28"/>
  <c r="O220" i="28"/>
  <c r="P222" i="12"/>
  <c r="P218" i="12"/>
  <c r="P219" i="12"/>
  <c r="P220" i="12"/>
  <c r="P221" i="12"/>
  <c r="K212" i="29"/>
  <c r="L212" i="29"/>
  <c r="M212" i="29"/>
  <c r="N212" i="29"/>
  <c r="O212" i="29"/>
  <c r="K213" i="29"/>
  <c r="L213" i="29"/>
  <c r="M213" i="29"/>
  <c r="N213" i="29"/>
  <c r="O213" i="29"/>
  <c r="K214" i="29"/>
  <c r="L214" i="29"/>
  <c r="M214" i="29"/>
  <c r="N214" i="29"/>
  <c r="O214" i="29"/>
  <c r="K174" i="30"/>
  <c r="P174" i="30"/>
  <c r="K175" i="30"/>
  <c r="P175" i="30"/>
  <c r="K176" i="30"/>
  <c r="P176" i="30"/>
  <c r="K211" i="29"/>
  <c r="L211" i="29"/>
  <c r="M211" i="29"/>
  <c r="N211" i="29"/>
  <c r="O211" i="29"/>
  <c r="K208" i="29"/>
  <c r="L208" i="29"/>
  <c r="M208" i="29"/>
  <c r="N208" i="29"/>
  <c r="O208" i="29"/>
  <c r="K209" i="29"/>
  <c r="L209" i="29"/>
  <c r="M209" i="29"/>
  <c r="N209" i="29"/>
  <c r="O209" i="29"/>
  <c r="K210" i="29"/>
  <c r="L210" i="29"/>
  <c r="M210" i="29"/>
  <c r="N210" i="29"/>
  <c r="O210" i="29"/>
  <c r="K215" i="28"/>
  <c r="L215" i="28"/>
  <c r="M215" i="28"/>
  <c r="N215" i="28"/>
  <c r="O215" i="28"/>
  <c r="K216" i="28"/>
  <c r="L216" i="28"/>
  <c r="M216" i="28"/>
  <c r="N216" i="28"/>
  <c r="O216" i="28"/>
  <c r="P215" i="12"/>
  <c r="P216" i="12"/>
  <c r="P217" i="12"/>
  <c r="P214" i="12"/>
  <c r="P213" i="12"/>
  <c r="P238" i="28"/>
  <c r="P239" i="28"/>
  <c r="P240" i="28"/>
  <c r="P236" i="28"/>
  <c r="P243" i="28"/>
  <c r="P242" i="28"/>
  <c r="P229" i="28"/>
  <c r="P234" i="28"/>
  <c r="Q224" i="29"/>
  <c r="P214" i="29"/>
  <c r="P216" i="29"/>
  <c r="P210" i="29"/>
  <c r="P215" i="29"/>
  <c r="P208" i="29"/>
  <c r="P220" i="29"/>
  <c r="P219" i="29"/>
  <c r="P213" i="29"/>
  <c r="P218" i="29"/>
  <c r="P221" i="29"/>
  <c r="P231" i="28"/>
  <c r="P230" i="28"/>
  <c r="P227" i="28"/>
  <c r="P232" i="28"/>
  <c r="P233" i="28"/>
  <c r="P228" i="28"/>
  <c r="P235" i="28"/>
  <c r="P224" i="28"/>
  <c r="P223" i="28"/>
  <c r="P225" i="28"/>
  <c r="P226" i="28"/>
  <c r="P222" i="28"/>
  <c r="P217" i="28"/>
  <c r="P221" i="28"/>
  <c r="P219" i="28"/>
  <c r="P220" i="28"/>
  <c r="P218" i="28"/>
  <c r="P209" i="29"/>
  <c r="P212" i="29"/>
  <c r="P211" i="29"/>
  <c r="P216" i="28"/>
  <c r="P215" i="28"/>
  <c r="K173" i="30"/>
  <c r="P173" i="30"/>
  <c r="K171" i="30"/>
  <c r="P171" i="30"/>
  <c r="K172" i="30"/>
  <c r="P172" i="30"/>
  <c r="K207" i="29"/>
  <c r="L207" i="29"/>
  <c r="M207" i="29"/>
  <c r="N207" i="29"/>
  <c r="O207" i="29"/>
  <c r="K206" i="29"/>
  <c r="L206" i="29"/>
  <c r="M206" i="29"/>
  <c r="N206" i="29"/>
  <c r="O206" i="29"/>
  <c r="K212" i="28"/>
  <c r="L212" i="28"/>
  <c r="M212" i="28"/>
  <c r="N212" i="28"/>
  <c r="O212" i="28"/>
  <c r="K213" i="28"/>
  <c r="L213" i="28"/>
  <c r="M213" i="28"/>
  <c r="N213" i="28"/>
  <c r="O213" i="28"/>
  <c r="K214" i="28"/>
  <c r="L214" i="28"/>
  <c r="M214" i="28"/>
  <c r="N214" i="28"/>
  <c r="O214" i="28"/>
  <c r="P183" i="12"/>
  <c r="P184" i="12"/>
  <c r="P185" i="12"/>
  <c r="P186" i="12"/>
  <c r="P187" i="12"/>
  <c r="P188" i="12"/>
  <c r="P189" i="12"/>
  <c r="P191" i="12"/>
  <c r="Q191" i="12"/>
  <c r="P214" i="28"/>
  <c r="P213" i="28"/>
  <c r="P207" i="29"/>
  <c r="P206" i="29"/>
  <c r="P212" i="28"/>
  <c r="K170" i="30"/>
  <c r="P170" i="30"/>
  <c r="K205" i="29"/>
  <c r="L205" i="29"/>
  <c r="M205" i="29"/>
  <c r="N205" i="29"/>
  <c r="O205" i="29"/>
  <c r="P212" i="12"/>
  <c r="K204" i="29"/>
  <c r="L204" i="29"/>
  <c r="M204" i="29"/>
  <c r="N204" i="29"/>
  <c r="O204" i="29"/>
  <c r="K211" i="28"/>
  <c r="L211" i="28"/>
  <c r="M211" i="28"/>
  <c r="N211" i="28"/>
  <c r="O211" i="28"/>
  <c r="P210" i="12"/>
  <c r="P211" i="12"/>
  <c r="K168" i="30"/>
  <c r="P168" i="30"/>
  <c r="K169" i="30"/>
  <c r="P169" i="30"/>
  <c r="P201" i="12"/>
  <c r="P202" i="12"/>
  <c r="P203" i="12"/>
  <c r="P204" i="12"/>
  <c r="P205" i="12"/>
  <c r="P206" i="12"/>
  <c r="P207" i="12"/>
  <c r="P208" i="12"/>
  <c r="P209" i="12"/>
  <c r="O210" i="28"/>
  <c r="N210" i="28"/>
  <c r="M210" i="28"/>
  <c r="L210" i="28"/>
  <c r="K210" i="28"/>
  <c r="O209" i="28"/>
  <c r="N209" i="28"/>
  <c r="M209" i="28"/>
  <c r="L209" i="28"/>
  <c r="K209" i="28"/>
  <c r="O208" i="28"/>
  <c r="N208" i="28"/>
  <c r="M208" i="28"/>
  <c r="L208" i="28"/>
  <c r="K208" i="28"/>
  <c r="K199" i="29"/>
  <c r="L199" i="29"/>
  <c r="M199" i="29"/>
  <c r="N199" i="29"/>
  <c r="O199" i="29"/>
  <c r="K200" i="29"/>
  <c r="L200" i="29"/>
  <c r="M200" i="29"/>
  <c r="N200" i="29"/>
  <c r="O200" i="29"/>
  <c r="K201" i="29"/>
  <c r="L201" i="29"/>
  <c r="M201" i="29"/>
  <c r="N201" i="29"/>
  <c r="O201" i="29"/>
  <c r="K202" i="29"/>
  <c r="L202" i="29"/>
  <c r="M202" i="29"/>
  <c r="N202" i="29"/>
  <c r="O202" i="29"/>
  <c r="K203" i="29"/>
  <c r="L203" i="29"/>
  <c r="M203" i="29"/>
  <c r="N203" i="29"/>
  <c r="O203" i="29"/>
  <c r="P201" i="29"/>
  <c r="P199" i="29"/>
  <c r="P209" i="28"/>
  <c r="P210" i="28"/>
  <c r="P208" i="28"/>
  <c r="P211" i="28"/>
  <c r="P205" i="29"/>
  <c r="P204" i="29"/>
  <c r="P200" i="29"/>
  <c r="P203" i="29"/>
  <c r="P202" i="29"/>
  <c r="K167" i="30"/>
  <c r="P167" i="30"/>
  <c r="K197" i="29"/>
  <c r="L197" i="29"/>
  <c r="M197" i="29"/>
  <c r="N197" i="29"/>
  <c r="O197" i="29"/>
  <c r="K198" i="29"/>
  <c r="L198" i="29"/>
  <c r="M198" i="29"/>
  <c r="N198" i="29"/>
  <c r="O198" i="29"/>
  <c r="K188" i="29"/>
  <c r="L188" i="29"/>
  <c r="M188" i="29"/>
  <c r="N188" i="29"/>
  <c r="O188" i="29"/>
  <c r="K189" i="29"/>
  <c r="L189" i="29"/>
  <c r="M189" i="29"/>
  <c r="N189" i="29"/>
  <c r="O189" i="29"/>
  <c r="K190" i="29"/>
  <c r="L190" i="29"/>
  <c r="M190" i="29"/>
  <c r="N190" i="29"/>
  <c r="O190" i="29"/>
  <c r="K166" i="30"/>
  <c r="P166" i="30"/>
  <c r="K196" i="29"/>
  <c r="L196" i="29"/>
  <c r="M196" i="29"/>
  <c r="N196" i="29"/>
  <c r="O196" i="29"/>
  <c r="K195" i="29"/>
  <c r="L195" i="29"/>
  <c r="M195" i="29"/>
  <c r="N195" i="29"/>
  <c r="O195" i="29"/>
  <c r="K194" i="29"/>
  <c r="L194" i="29"/>
  <c r="M194" i="29"/>
  <c r="N194" i="29"/>
  <c r="O194" i="29"/>
  <c r="K207" i="28"/>
  <c r="L207" i="28"/>
  <c r="M207" i="28"/>
  <c r="N207" i="28"/>
  <c r="O207" i="28"/>
  <c r="P206" i="28"/>
  <c r="K205" i="28"/>
  <c r="L205" i="28"/>
  <c r="M205" i="28"/>
  <c r="N205" i="28"/>
  <c r="O205" i="28"/>
  <c r="K164" i="30"/>
  <c r="P164" i="30"/>
  <c r="K165" i="30"/>
  <c r="P165" i="30"/>
  <c r="O193" i="29"/>
  <c r="N193" i="29"/>
  <c r="M193" i="29"/>
  <c r="L193" i="29"/>
  <c r="K193" i="29"/>
  <c r="O192" i="29"/>
  <c r="N192" i="29"/>
  <c r="M192" i="29"/>
  <c r="L192" i="29"/>
  <c r="K192" i="29"/>
  <c r="O191" i="29"/>
  <c r="N191" i="29"/>
  <c r="M191" i="29"/>
  <c r="L191" i="29"/>
  <c r="K191" i="29"/>
  <c r="P197" i="29"/>
  <c r="P207" i="28"/>
  <c r="P205" i="28"/>
  <c r="P195" i="29"/>
  <c r="P198" i="29"/>
  <c r="P194" i="29"/>
  <c r="P192" i="29"/>
  <c r="P196" i="29"/>
  <c r="P193" i="29"/>
  <c r="P191" i="29"/>
  <c r="K203" i="28"/>
  <c r="L203" i="28"/>
  <c r="M203" i="28"/>
  <c r="N203" i="28"/>
  <c r="O203" i="28"/>
  <c r="P204" i="28"/>
  <c r="P203" i="28"/>
  <c r="O236" i="12"/>
  <c r="O237" i="12"/>
  <c r="M236" i="12"/>
  <c r="M237" i="12"/>
  <c r="L236" i="12"/>
  <c r="L237" i="12"/>
  <c r="K236" i="12"/>
  <c r="N236" i="12"/>
  <c r="N237" i="12"/>
  <c r="P200" i="12"/>
  <c r="P199" i="12"/>
  <c r="P198" i="12"/>
  <c r="Q198" i="12"/>
  <c r="P196" i="12"/>
  <c r="E198" i="12"/>
  <c r="K163" i="30"/>
  <c r="P163" i="30"/>
  <c r="K187" i="29"/>
  <c r="L187" i="29"/>
  <c r="M187" i="29"/>
  <c r="N187" i="29"/>
  <c r="O187" i="29"/>
  <c r="P202" i="28"/>
  <c r="N190" i="12"/>
  <c r="P190" i="12"/>
  <c r="K237" i="12"/>
  <c r="P237" i="12"/>
  <c r="P236" i="12"/>
  <c r="P187" i="29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K162" i="30"/>
  <c r="P162" i="30"/>
  <c r="P200" i="28"/>
  <c r="K201" i="28"/>
  <c r="L201" i="28"/>
  <c r="M201" i="28"/>
  <c r="N201" i="28"/>
  <c r="O201" i="28"/>
  <c r="K186" i="29"/>
  <c r="L186" i="29"/>
  <c r="M186" i="29"/>
  <c r="N186" i="29"/>
  <c r="O186" i="29"/>
  <c r="K185" i="29"/>
  <c r="L185" i="29"/>
  <c r="M185" i="29"/>
  <c r="N185" i="29"/>
  <c r="O185" i="29"/>
  <c r="K161" i="30"/>
  <c r="P161" i="30"/>
  <c r="K160" i="30"/>
  <c r="P160" i="30"/>
  <c r="Q160" i="30"/>
  <c r="O200" i="30"/>
  <c r="O201" i="30"/>
  <c r="L200" i="30"/>
  <c r="L201" i="30"/>
  <c r="N200" i="30"/>
  <c r="N201" i="30"/>
  <c r="M200" i="30"/>
  <c r="M201" i="30"/>
  <c r="P158" i="30"/>
  <c r="E160" i="30"/>
  <c r="K199" i="28"/>
  <c r="L199" i="28"/>
  <c r="M199" i="28"/>
  <c r="N199" i="28"/>
  <c r="O199" i="28"/>
  <c r="K197" i="28"/>
  <c r="L197" i="28"/>
  <c r="M197" i="28"/>
  <c r="N197" i="28"/>
  <c r="O197" i="28"/>
  <c r="N195" i="28"/>
  <c r="L195" i="28"/>
  <c r="M195" i="28"/>
  <c r="O195" i="28"/>
  <c r="K195" i="28"/>
  <c r="P198" i="28"/>
  <c r="P196" i="28"/>
  <c r="P193" i="28"/>
  <c r="E195" i="28"/>
  <c r="P186" i="28"/>
  <c r="P188" i="28"/>
  <c r="Q188" i="28"/>
  <c r="N187" i="28"/>
  <c r="M187" i="28"/>
  <c r="O187" i="28"/>
  <c r="L187" i="28"/>
  <c r="P181" i="12"/>
  <c r="P182" i="12"/>
  <c r="P178" i="12"/>
  <c r="P179" i="12"/>
  <c r="P180" i="12"/>
  <c r="P176" i="12"/>
  <c r="P177" i="12"/>
  <c r="P172" i="12"/>
  <c r="P173" i="12"/>
  <c r="P174" i="12"/>
  <c r="P175" i="12"/>
  <c r="K200" i="30"/>
  <c r="P200" i="30"/>
  <c r="K250" i="28"/>
  <c r="K251" i="28"/>
  <c r="P201" i="28"/>
  <c r="L250" i="28"/>
  <c r="L251" i="28"/>
  <c r="Q161" i="30"/>
  <c r="Q162" i="30"/>
  <c r="Q163" i="30"/>
  <c r="Q164" i="30"/>
  <c r="Q165" i="30"/>
  <c r="Q166" i="30"/>
  <c r="Q167" i="30"/>
  <c r="Q168" i="30"/>
  <c r="Q169" i="30"/>
  <c r="Q170" i="30"/>
  <c r="Q171" i="30"/>
  <c r="Q172" i="30"/>
  <c r="Q173" i="30"/>
  <c r="Q174" i="30"/>
  <c r="Q175" i="30"/>
  <c r="Q176" i="30"/>
  <c r="Q177" i="30"/>
  <c r="Q178" i="30"/>
  <c r="Q179" i="30"/>
  <c r="Q180" i="30"/>
  <c r="Q181" i="30"/>
  <c r="Q182" i="30"/>
  <c r="Q183" i="30"/>
  <c r="Q184" i="30"/>
  <c r="Q185" i="30"/>
  <c r="Q186" i="30"/>
  <c r="Q187" i="30"/>
  <c r="Q188" i="30"/>
  <c r="Q189" i="30"/>
  <c r="Q190" i="30"/>
  <c r="Q191" i="30"/>
  <c r="P197" i="28"/>
  <c r="P195" i="28"/>
  <c r="Q195" i="28"/>
  <c r="Q196" i="28"/>
  <c r="P199" i="28"/>
  <c r="N250" i="28"/>
  <c r="N251" i="28"/>
  <c r="M250" i="28"/>
  <c r="M251" i="28"/>
  <c r="O250" i="28"/>
  <c r="O251" i="28"/>
  <c r="P187" i="28"/>
  <c r="P168" i="12"/>
  <c r="P169" i="12"/>
  <c r="P170" i="12"/>
  <c r="P171" i="12"/>
  <c r="K203" i="30"/>
  <c r="N152" i="30"/>
  <c r="O152" i="30"/>
  <c r="M152" i="30"/>
  <c r="K151" i="30"/>
  <c r="P151" i="30"/>
  <c r="K150" i="30"/>
  <c r="P150" i="30"/>
  <c r="P185" i="28"/>
  <c r="L238" i="12"/>
  <c r="M238" i="12"/>
  <c r="N238" i="12"/>
  <c r="O238" i="12"/>
  <c r="K238" i="12"/>
  <c r="K252" i="28"/>
  <c r="L252" i="28"/>
  <c r="M252" i="28"/>
  <c r="N252" i="28"/>
  <c r="O252" i="28"/>
  <c r="L202" i="30"/>
  <c r="M202" i="30"/>
  <c r="N202" i="30"/>
  <c r="O202" i="30"/>
  <c r="P153" i="30"/>
  <c r="Q153" i="30"/>
  <c r="K148" i="30"/>
  <c r="P148" i="30"/>
  <c r="K149" i="30"/>
  <c r="P149" i="30"/>
  <c r="P184" i="28"/>
  <c r="P165" i="12"/>
  <c r="P166" i="12"/>
  <c r="P167" i="12"/>
  <c r="K145" i="30"/>
  <c r="P145" i="30"/>
  <c r="K146" i="30"/>
  <c r="P146" i="30"/>
  <c r="K147" i="30"/>
  <c r="P147" i="30"/>
  <c r="P181" i="28"/>
  <c r="P182" i="28"/>
  <c r="P183" i="28"/>
  <c r="P164" i="12"/>
  <c r="P162" i="12"/>
  <c r="P163" i="12"/>
  <c r="K144" i="30"/>
  <c r="P144" i="30"/>
  <c r="K201" i="30"/>
  <c r="P201" i="30"/>
  <c r="Q197" i="28"/>
  <c r="Q198" i="28"/>
  <c r="P251" i="28"/>
  <c r="P250" i="28"/>
  <c r="P152" i="30"/>
  <c r="P160" i="12"/>
  <c r="P161" i="12"/>
  <c r="P180" i="28"/>
  <c r="Q199" i="28"/>
  <c r="Q200" i="28"/>
  <c r="Q201" i="28"/>
  <c r="Q202" i="28"/>
  <c r="Q203" i="28"/>
  <c r="Q204" i="28"/>
  <c r="Q205" i="28"/>
  <c r="Q206" i="28"/>
  <c r="Q207" i="28"/>
  <c r="Q208" i="28"/>
  <c r="Q209" i="28"/>
  <c r="Q210" i="28"/>
  <c r="Q211" i="28"/>
  <c r="Q212" i="28"/>
  <c r="Q213" i="28"/>
  <c r="Q214" i="28"/>
  <c r="Q215" i="28"/>
  <c r="Q216" i="28"/>
  <c r="Q217" i="28"/>
  <c r="Q218" i="28"/>
  <c r="Q219" i="28"/>
  <c r="Q220" i="28"/>
  <c r="Q221" i="28"/>
  <c r="Q222" i="28"/>
  <c r="Q223" i="28"/>
  <c r="Q224" i="28"/>
  <c r="Q225" i="28"/>
  <c r="Q226" i="28"/>
  <c r="Q227" i="28"/>
  <c r="Q228" i="28"/>
  <c r="Q229" i="28"/>
  <c r="Q230" i="28"/>
  <c r="Q231" i="28"/>
  <c r="Q232" i="28"/>
  <c r="Q233" i="28"/>
  <c r="Q234" i="28"/>
  <c r="Q235" i="28"/>
  <c r="Q236" i="28"/>
  <c r="Q237" i="28"/>
  <c r="Q238" i="28"/>
  <c r="Q239" i="28"/>
  <c r="Q240" i="28"/>
  <c r="Q241" i="28"/>
  <c r="Q242" i="28"/>
  <c r="Q243" i="28"/>
  <c r="K143" i="30"/>
  <c r="P143" i="30"/>
  <c r="O184" i="29"/>
  <c r="N184" i="29"/>
  <c r="M184" i="29"/>
  <c r="L184" i="29"/>
  <c r="K184" i="29"/>
  <c r="M183" i="29"/>
  <c r="N183" i="29"/>
  <c r="O183" i="29"/>
  <c r="L183" i="29"/>
  <c r="K183" i="29"/>
  <c r="P178" i="28"/>
  <c r="P179" i="28"/>
  <c r="P174" i="29"/>
  <c r="P185" i="29"/>
  <c r="K173" i="29"/>
  <c r="L173" i="29"/>
  <c r="M173" i="29"/>
  <c r="N173" i="29"/>
  <c r="O173" i="29"/>
  <c r="P190" i="29"/>
  <c r="P189" i="29"/>
  <c r="P188" i="29"/>
  <c r="P186" i="29"/>
  <c r="P181" i="29"/>
  <c r="P158" i="12"/>
  <c r="P159" i="12"/>
  <c r="P177" i="28"/>
  <c r="P175" i="29"/>
  <c r="P176" i="29"/>
  <c r="Q176" i="29"/>
  <c r="K172" i="29"/>
  <c r="L172" i="29"/>
  <c r="M172" i="29"/>
  <c r="N172" i="29"/>
  <c r="O172" i="29"/>
  <c r="K142" i="30"/>
  <c r="P142" i="30"/>
  <c r="K171" i="29"/>
  <c r="L171" i="29"/>
  <c r="M171" i="29"/>
  <c r="N171" i="29"/>
  <c r="O171" i="29"/>
  <c r="O230" i="29"/>
  <c r="O231" i="29"/>
  <c r="M230" i="29"/>
  <c r="M231" i="29"/>
  <c r="K230" i="29"/>
  <c r="K231" i="29"/>
  <c r="L230" i="29"/>
  <c r="L231" i="29"/>
  <c r="E183" i="29"/>
  <c r="Q250" i="12"/>
  <c r="P183" i="29"/>
  <c r="Q183" i="29"/>
  <c r="N230" i="29"/>
  <c r="N231" i="29"/>
  <c r="P173" i="29"/>
  <c r="P184" i="29"/>
  <c r="P171" i="29"/>
  <c r="P172" i="29"/>
  <c r="Q184" i="29"/>
  <c r="Q185" i="29"/>
  <c r="Q186" i="29"/>
  <c r="P230" i="29"/>
  <c r="P231" i="29"/>
  <c r="P175" i="28"/>
  <c r="P176" i="28"/>
  <c r="K141" i="30"/>
  <c r="P141" i="30"/>
  <c r="K140" i="30"/>
  <c r="P140" i="30"/>
  <c r="K139" i="30"/>
  <c r="P139" i="30"/>
  <c r="O170" i="29"/>
  <c r="N170" i="29"/>
  <c r="M170" i="29"/>
  <c r="L170" i="29"/>
  <c r="K170" i="29"/>
  <c r="P156" i="12"/>
  <c r="P157" i="12"/>
  <c r="K138" i="30"/>
  <c r="P138" i="30"/>
  <c r="K169" i="29"/>
  <c r="L169" i="29"/>
  <c r="M169" i="29"/>
  <c r="N169" i="29"/>
  <c r="O169" i="29"/>
  <c r="P173" i="28"/>
  <c r="P174" i="28"/>
  <c r="P153" i="12"/>
  <c r="P155" i="12"/>
  <c r="P154" i="12"/>
  <c r="O168" i="29"/>
  <c r="N168" i="29"/>
  <c r="M168" i="29"/>
  <c r="L168" i="29"/>
  <c r="K168" i="29"/>
  <c r="O167" i="29"/>
  <c r="N167" i="29"/>
  <c r="M167" i="29"/>
  <c r="L167" i="29"/>
  <c r="K167" i="29"/>
  <c r="P172" i="28"/>
  <c r="K135" i="30"/>
  <c r="P135" i="30"/>
  <c r="K136" i="30"/>
  <c r="P136" i="30"/>
  <c r="K137" i="30"/>
  <c r="P137" i="30"/>
  <c r="M165" i="29"/>
  <c r="N165" i="29"/>
  <c r="O165" i="29"/>
  <c r="L165" i="29"/>
  <c r="K165" i="29"/>
  <c r="K166" i="29"/>
  <c r="L166" i="29"/>
  <c r="M166" i="29"/>
  <c r="N166" i="29"/>
  <c r="O166" i="29"/>
  <c r="P170" i="28"/>
  <c r="P171" i="28"/>
  <c r="P151" i="12"/>
  <c r="P152" i="12"/>
  <c r="K134" i="30"/>
  <c r="P134" i="30"/>
  <c r="K133" i="30"/>
  <c r="P133" i="30"/>
  <c r="K132" i="30"/>
  <c r="P132" i="30"/>
  <c r="K163" i="29"/>
  <c r="L163" i="29"/>
  <c r="M163" i="29"/>
  <c r="N163" i="29"/>
  <c r="O163" i="29"/>
  <c r="K164" i="29"/>
  <c r="L164" i="29"/>
  <c r="M164" i="29"/>
  <c r="N164" i="29"/>
  <c r="O164" i="29"/>
  <c r="P169" i="28"/>
  <c r="P167" i="28"/>
  <c r="P168" i="28"/>
  <c r="P150" i="12"/>
  <c r="Q187" i="29"/>
  <c r="Q188" i="29"/>
  <c r="Q189" i="29"/>
  <c r="Q190" i="29"/>
  <c r="Q191" i="29"/>
  <c r="Q192" i="29"/>
  <c r="Q193" i="29"/>
  <c r="Q194" i="29"/>
  <c r="Q195" i="29"/>
  <c r="Q196" i="29"/>
  <c r="Q197" i="29"/>
  <c r="Q198" i="29"/>
  <c r="Q199" i="29"/>
  <c r="Q200" i="29"/>
  <c r="Q201" i="29"/>
  <c r="Q202" i="29"/>
  <c r="Q203" i="29"/>
  <c r="Q204" i="29"/>
  <c r="Q205" i="29"/>
  <c r="Q206" i="29"/>
  <c r="Q207" i="29"/>
  <c r="Q208" i="29"/>
  <c r="Q209" i="29"/>
  <c r="Q210" i="29"/>
  <c r="Q211" i="29"/>
  <c r="Q212" i="29"/>
  <c r="Q213" i="29"/>
  <c r="Q214" i="29"/>
  <c r="Q215" i="29"/>
  <c r="Q216" i="29"/>
  <c r="Q217" i="29"/>
  <c r="Q218" i="29"/>
  <c r="Q219" i="29"/>
  <c r="Q220" i="29"/>
  <c r="Q221" i="29"/>
  <c r="Q251" i="12"/>
  <c r="Q252" i="12"/>
  <c r="Q253" i="12"/>
  <c r="P169" i="29"/>
  <c r="P164" i="29"/>
  <c r="P170" i="29"/>
  <c r="P163" i="29"/>
  <c r="P166" i="29"/>
  <c r="P167" i="29"/>
  <c r="P165" i="29"/>
  <c r="P168" i="29"/>
  <c r="K131" i="30"/>
  <c r="P131" i="30"/>
  <c r="O162" i="29"/>
  <c r="N162" i="29"/>
  <c r="M162" i="29"/>
  <c r="L162" i="29"/>
  <c r="K162" i="29"/>
  <c r="K161" i="29"/>
  <c r="L161" i="29"/>
  <c r="M161" i="29"/>
  <c r="N161" i="29"/>
  <c r="O161" i="29"/>
  <c r="P162" i="28"/>
  <c r="P163" i="28"/>
  <c r="P164" i="28"/>
  <c r="P165" i="28"/>
  <c r="P166" i="28"/>
  <c r="P149" i="12"/>
  <c r="G14" i="33"/>
  <c r="N70" i="30"/>
  <c r="O70" i="30"/>
  <c r="M70" i="30"/>
  <c r="G7" i="33"/>
  <c r="K40" i="33"/>
  <c r="K41" i="33"/>
  <c r="K42" i="33"/>
  <c r="H28" i="33"/>
  <c r="I28" i="33"/>
  <c r="J28" i="33"/>
  <c r="K28" i="33"/>
  <c r="H14" i="33"/>
  <c r="I14" i="33"/>
  <c r="J14" i="33"/>
  <c r="K14" i="33"/>
  <c r="H7" i="33"/>
  <c r="I7" i="33"/>
  <c r="J7" i="33"/>
  <c r="K7" i="33"/>
  <c r="H25" i="33"/>
  <c r="I25" i="33"/>
  <c r="J25" i="33"/>
  <c r="K25" i="33"/>
  <c r="G25" i="33"/>
  <c r="H18" i="33"/>
  <c r="I18" i="33"/>
  <c r="J18" i="33"/>
  <c r="K18" i="33"/>
  <c r="G18" i="33"/>
  <c r="H11" i="33"/>
  <c r="I11" i="33"/>
  <c r="J11" i="33"/>
  <c r="K11" i="33"/>
  <c r="G11" i="33"/>
  <c r="H4" i="33"/>
  <c r="I4" i="33"/>
  <c r="J4" i="33"/>
  <c r="K4" i="33"/>
  <c r="G4" i="33"/>
  <c r="H25" i="32"/>
  <c r="I25" i="32"/>
  <c r="J25" i="32"/>
  <c r="K25" i="32"/>
  <c r="G25" i="32"/>
  <c r="H18" i="32"/>
  <c r="I18" i="32"/>
  <c r="J18" i="32"/>
  <c r="K18" i="32"/>
  <c r="G18" i="32"/>
  <c r="H11" i="32"/>
  <c r="I11" i="32"/>
  <c r="J11" i="32"/>
  <c r="K11" i="32"/>
  <c r="G11" i="32"/>
  <c r="H4" i="32"/>
  <c r="I4" i="32"/>
  <c r="J4" i="32"/>
  <c r="K4" i="32"/>
  <c r="G4" i="32"/>
  <c r="P148" i="12"/>
  <c r="K160" i="29"/>
  <c r="L160" i="29"/>
  <c r="M160" i="29"/>
  <c r="N160" i="29"/>
  <c r="O160" i="29"/>
  <c r="P147" i="12"/>
  <c r="P146" i="12"/>
  <c r="K130" i="30"/>
  <c r="P130" i="30"/>
  <c r="K159" i="29"/>
  <c r="L159" i="29"/>
  <c r="M159" i="29"/>
  <c r="N159" i="29"/>
  <c r="O159" i="29"/>
  <c r="K157" i="29"/>
  <c r="L157" i="29"/>
  <c r="M157" i="29"/>
  <c r="N157" i="29"/>
  <c r="O157" i="29"/>
  <c r="K158" i="29"/>
  <c r="L158" i="29"/>
  <c r="M158" i="29"/>
  <c r="N158" i="29"/>
  <c r="O158" i="29"/>
  <c r="P160" i="28"/>
  <c r="P161" i="28"/>
  <c r="P145" i="12"/>
  <c r="K125" i="30"/>
  <c r="P125" i="30"/>
  <c r="K126" i="30"/>
  <c r="P126" i="30"/>
  <c r="K127" i="30"/>
  <c r="P127" i="30"/>
  <c r="P128" i="30"/>
  <c r="K129" i="30"/>
  <c r="P129" i="30"/>
  <c r="K156" i="29"/>
  <c r="L156" i="29"/>
  <c r="M156" i="29"/>
  <c r="N156" i="29"/>
  <c r="O156" i="29"/>
  <c r="K153" i="29"/>
  <c r="L153" i="29"/>
  <c r="M153" i="29"/>
  <c r="N153" i="29"/>
  <c r="O153" i="29"/>
  <c r="K154" i="29"/>
  <c r="L154" i="29"/>
  <c r="M154" i="29"/>
  <c r="N154" i="29"/>
  <c r="O154" i="29"/>
  <c r="K155" i="29"/>
  <c r="L155" i="29"/>
  <c r="M155" i="29"/>
  <c r="N155" i="29"/>
  <c r="O155" i="29"/>
  <c r="P156" i="29"/>
  <c r="L25" i="32"/>
  <c r="P161" i="29"/>
  <c r="P162" i="29"/>
  <c r="L4" i="32"/>
  <c r="L4" i="33"/>
  <c r="L25" i="33"/>
  <c r="P153" i="29"/>
  <c r="L18" i="32"/>
  <c r="L18" i="33"/>
  <c r="P157" i="29"/>
  <c r="P160" i="29"/>
  <c r="P159" i="29"/>
  <c r="L11" i="32"/>
  <c r="L14" i="33"/>
  <c r="P158" i="29"/>
  <c r="L11" i="33"/>
  <c r="L7" i="33"/>
  <c r="P155" i="29"/>
  <c r="P154" i="29"/>
  <c r="P155" i="28"/>
  <c r="P156" i="28"/>
  <c r="P157" i="28"/>
  <c r="P158" i="28"/>
  <c r="P159" i="28"/>
  <c r="P153" i="28"/>
  <c r="P154" i="28"/>
  <c r="P148" i="28"/>
  <c r="P149" i="28"/>
  <c r="P150" i="28"/>
  <c r="P151" i="28"/>
  <c r="P152" i="28"/>
  <c r="P140" i="12"/>
  <c r="P141" i="12"/>
  <c r="P142" i="12"/>
  <c r="P143" i="12"/>
  <c r="P144" i="12"/>
  <c r="P139" i="12"/>
  <c r="P138" i="12"/>
  <c r="K150" i="29"/>
  <c r="L150" i="29"/>
  <c r="M150" i="29"/>
  <c r="N150" i="29"/>
  <c r="O150" i="29"/>
  <c r="K151" i="29"/>
  <c r="L151" i="29"/>
  <c r="M151" i="29"/>
  <c r="N151" i="29"/>
  <c r="O151" i="29"/>
  <c r="K152" i="29"/>
  <c r="L152" i="29"/>
  <c r="M152" i="29"/>
  <c r="N152" i="29"/>
  <c r="O152" i="29"/>
  <c r="K121" i="30"/>
  <c r="P121" i="30"/>
  <c r="K122" i="30"/>
  <c r="P122" i="30"/>
  <c r="K123" i="30"/>
  <c r="P123" i="30"/>
  <c r="K124" i="30"/>
  <c r="P124" i="30"/>
  <c r="K148" i="29"/>
  <c r="L148" i="29"/>
  <c r="M148" i="29"/>
  <c r="N148" i="29"/>
  <c r="O148" i="29"/>
  <c r="K149" i="29"/>
  <c r="L149" i="29"/>
  <c r="M149" i="29"/>
  <c r="N149" i="29"/>
  <c r="O149" i="29"/>
  <c r="K119" i="30"/>
  <c r="P119" i="30"/>
  <c r="K120" i="30"/>
  <c r="P120" i="30"/>
  <c r="P147" i="28"/>
  <c r="P146" i="28"/>
  <c r="K146" i="29"/>
  <c r="L146" i="29"/>
  <c r="M146" i="29"/>
  <c r="N146" i="29"/>
  <c r="O146" i="29"/>
  <c r="K147" i="29"/>
  <c r="L147" i="29"/>
  <c r="M147" i="29"/>
  <c r="N147" i="29"/>
  <c r="O147" i="29"/>
  <c r="P142" i="28"/>
  <c r="P143" i="28"/>
  <c r="P144" i="28"/>
  <c r="P145" i="28"/>
  <c r="K144" i="29"/>
  <c r="L144" i="29"/>
  <c r="M144" i="29"/>
  <c r="N144" i="29"/>
  <c r="O144" i="29"/>
  <c r="K145" i="29"/>
  <c r="L145" i="29"/>
  <c r="M145" i="29"/>
  <c r="N145" i="29"/>
  <c r="O145" i="29"/>
  <c r="L32" i="33"/>
  <c r="P148" i="29"/>
  <c r="P149" i="29"/>
  <c r="P150" i="29"/>
  <c r="P152" i="29"/>
  <c r="P151" i="29"/>
  <c r="P145" i="29"/>
  <c r="P147" i="29"/>
  <c r="P144" i="29"/>
  <c r="P146" i="29"/>
  <c r="K118" i="30"/>
  <c r="P118" i="30"/>
  <c r="K143" i="29"/>
  <c r="L143" i="29"/>
  <c r="M143" i="29"/>
  <c r="N143" i="29"/>
  <c r="O143" i="29"/>
  <c r="P143" i="29"/>
  <c r="K115" i="30"/>
  <c r="P115" i="30"/>
  <c r="K116" i="30"/>
  <c r="P116" i="30"/>
  <c r="K117" i="30"/>
  <c r="P117" i="30"/>
  <c r="K141" i="29"/>
  <c r="L141" i="29"/>
  <c r="M141" i="29"/>
  <c r="N141" i="29"/>
  <c r="O141" i="29"/>
  <c r="K142" i="29"/>
  <c r="L142" i="29"/>
  <c r="M142" i="29"/>
  <c r="N142" i="29"/>
  <c r="O142" i="29"/>
  <c r="P141" i="28"/>
  <c r="K139" i="29"/>
  <c r="L139" i="29"/>
  <c r="M139" i="29"/>
  <c r="N139" i="29"/>
  <c r="O139" i="29"/>
  <c r="K140" i="29"/>
  <c r="L140" i="29"/>
  <c r="M140" i="29"/>
  <c r="N140" i="29"/>
  <c r="O140" i="29"/>
  <c r="K113" i="30"/>
  <c r="P113" i="30"/>
  <c r="K114" i="30"/>
  <c r="P114" i="30"/>
  <c r="P137" i="28"/>
  <c r="P138" i="28"/>
  <c r="P139" i="28"/>
  <c r="P140" i="28"/>
  <c r="K112" i="30"/>
  <c r="P112" i="30"/>
  <c r="K111" i="30"/>
  <c r="P111" i="30"/>
  <c r="K138" i="29"/>
  <c r="L138" i="29"/>
  <c r="M138" i="29"/>
  <c r="N138" i="29"/>
  <c r="O138" i="29"/>
  <c r="P136" i="28"/>
  <c r="K136" i="29"/>
  <c r="L136" i="29"/>
  <c r="M136" i="29"/>
  <c r="N136" i="29"/>
  <c r="O136" i="29"/>
  <c r="K137" i="29"/>
  <c r="L137" i="29"/>
  <c r="M137" i="29"/>
  <c r="N137" i="29"/>
  <c r="O137" i="29"/>
  <c r="P135" i="28"/>
  <c r="K110" i="30"/>
  <c r="P110" i="30"/>
  <c r="P134" i="28"/>
  <c r="K133" i="29"/>
  <c r="P133" i="29"/>
  <c r="K132" i="29"/>
  <c r="P132" i="29"/>
  <c r="K131" i="29"/>
  <c r="L131" i="29"/>
  <c r="M131" i="29"/>
  <c r="N131" i="29"/>
  <c r="O131" i="29"/>
  <c r="K134" i="29"/>
  <c r="L134" i="29"/>
  <c r="M134" i="29"/>
  <c r="N134" i="29"/>
  <c r="O134" i="29"/>
  <c r="K135" i="29"/>
  <c r="L135" i="29"/>
  <c r="M135" i="29"/>
  <c r="N135" i="29"/>
  <c r="O135" i="29"/>
  <c r="P140" i="29"/>
  <c r="P139" i="29"/>
  <c r="P138" i="29"/>
  <c r="P142" i="29"/>
  <c r="P141" i="29"/>
  <c r="P131" i="29"/>
  <c r="P134" i="29"/>
  <c r="P135" i="29"/>
  <c r="P136" i="29"/>
  <c r="P137" i="29"/>
  <c r="P133" i="28"/>
  <c r="K130" i="29"/>
  <c r="L130" i="29"/>
  <c r="M130" i="29"/>
  <c r="N130" i="29"/>
  <c r="O130" i="29"/>
  <c r="K127" i="29"/>
  <c r="L127" i="29"/>
  <c r="M127" i="29"/>
  <c r="N127" i="29"/>
  <c r="O127" i="29"/>
  <c r="P128" i="29"/>
  <c r="K129" i="29"/>
  <c r="L129" i="29"/>
  <c r="M129" i="29"/>
  <c r="N129" i="29"/>
  <c r="O129" i="29"/>
  <c r="K107" i="30"/>
  <c r="P107" i="30"/>
  <c r="K108" i="30"/>
  <c r="P108" i="30"/>
  <c r="K109" i="30"/>
  <c r="P109" i="30"/>
  <c r="P132" i="28"/>
  <c r="P131" i="28"/>
  <c r="P129" i="29"/>
  <c r="P130" i="29"/>
  <c r="P127" i="29"/>
  <c r="O126" i="29"/>
  <c r="N126" i="29"/>
  <c r="M126" i="29"/>
  <c r="L126" i="29"/>
  <c r="K126" i="29"/>
  <c r="O125" i="29"/>
  <c r="N125" i="29"/>
  <c r="M125" i="29"/>
  <c r="L125" i="29"/>
  <c r="K125" i="29"/>
  <c r="P107" i="29"/>
  <c r="Q107" i="29"/>
  <c r="P129" i="28"/>
  <c r="P130" i="28"/>
  <c r="K106" i="30"/>
  <c r="P106" i="30"/>
  <c r="K105" i="30"/>
  <c r="K104" i="30"/>
  <c r="K103" i="30"/>
  <c r="P103" i="30"/>
  <c r="P127" i="28"/>
  <c r="P128" i="28"/>
  <c r="P125" i="28"/>
  <c r="P126" i="28"/>
  <c r="K102" i="30"/>
  <c r="P124" i="29"/>
  <c r="P125" i="29"/>
  <c r="P126" i="29"/>
  <c r="K101" i="30"/>
  <c r="P101" i="30"/>
  <c r="K100" i="30"/>
  <c r="K202" i="30"/>
  <c r="K123" i="29"/>
  <c r="L123" i="29"/>
  <c r="M123" i="29"/>
  <c r="N123" i="29"/>
  <c r="O123" i="29"/>
  <c r="K120" i="29"/>
  <c r="L120" i="29"/>
  <c r="M120" i="29"/>
  <c r="N120" i="29"/>
  <c r="O120" i="29"/>
  <c r="K121" i="29"/>
  <c r="L121" i="29"/>
  <c r="M121" i="29"/>
  <c r="N121" i="29"/>
  <c r="O121" i="29"/>
  <c r="K122" i="29"/>
  <c r="L122" i="29"/>
  <c r="M122" i="29"/>
  <c r="N122" i="29"/>
  <c r="O122" i="29"/>
  <c r="O92" i="30"/>
  <c r="N92" i="30"/>
  <c r="M92" i="30"/>
  <c r="K92" i="30"/>
  <c r="O119" i="29"/>
  <c r="N119" i="29"/>
  <c r="M119" i="29"/>
  <c r="L119" i="29"/>
  <c r="K119" i="29"/>
  <c r="O118" i="29"/>
  <c r="N118" i="29"/>
  <c r="M118" i="29"/>
  <c r="L118" i="29"/>
  <c r="K118" i="29"/>
  <c r="P100" i="30"/>
  <c r="G28" i="33"/>
  <c r="L28" i="33"/>
  <c r="P121" i="29"/>
  <c r="P122" i="29"/>
  <c r="P120" i="29"/>
  <c r="P123" i="29"/>
  <c r="P119" i="29"/>
  <c r="P118" i="29"/>
  <c r="Q100" i="30"/>
  <c r="Q101" i="30"/>
  <c r="P114" i="28"/>
  <c r="P115" i="28"/>
  <c r="Q115" i="28"/>
  <c r="P132" i="12"/>
  <c r="P133" i="12"/>
  <c r="P134" i="12"/>
  <c r="P135" i="12"/>
  <c r="P136" i="12"/>
  <c r="P137" i="12"/>
  <c r="K117" i="29"/>
  <c r="L117" i="29"/>
  <c r="M117" i="29"/>
  <c r="N117" i="29"/>
  <c r="O117" i="29"/>
  <c r="P128" i="12"/>
  <c r="P129" i="12"/>
  <c r="P130" i="12"/>
  <c r="P131" i="12"/>
  <c r="O116" i="29"/>
  <c r="N116" i="29"/>
  <c r="M116" i="29"/>
  <c r="L116" i="29"/>
  <c r="K116" i="29"/>
  <c r="O115" i="29"/>
  <c r="N115" i="29"/>
  <c r="M115" i="29"/>
  <c r="L115" i="29"/>
  <c r="K115" i="29"/>
  <c r="M114" i="29"/>
  <c r="N114" i="29"/>
  <c r="O114" i="29"/>
  <c r="L114" i="29"/>
  <c r="K114" i="29"/>
  <c r="L203" i="30"/>
  <c r="M203" i="30"/>
  <c r="N203" i="30"/>
  <c r="O203" i="30"/>
  <c r="O154" i="30"/>
  <c r="N154" i="30"/>
  <c r="M154" i="30"/>
  <c r="L154" i="30"/>
  <c r="K154" i="30"/>
  <c r="P105" i="30"/>
  <c r="P104" i="30"/>
  <c r="P102" i="30"/>
  <c r="P98" i="30"/>
  <c r="E100" i="30"/>
  <c r="L233" i="29"/>
  <c r="M233" i="29"/>
  <c r="N233" i="29"/>
  <c r="O233" i="29"/>
  <c r="K233" i="29"/>
  <c r="P112" i="29"/>
  <c r="L253" i="28"/>
  <c r="M253" i="28"/>
  <c r="N253" i="28"/>
  <c r="O253" i="28"/>
  <c r="K253" i="28"/>
  <c r="O189" i="28"/>
  <c r="N189" i="28"/>
  <c r="M189" i="28"/>
  <c r="L189" i="28"/>
  <c r="K189" i="28"/>
  <c r="G12" i="33"/>
  <c r="P124" i="28"/>
  <c r="P123" i="28"/>
  <c r="P122" i="28"/>
  <c r="P120" i="28"/>
  <c r="E122" i="28"/>
  <c r="L239" i="12"/>
  <c r="M239" i="12"/>
  <c r="N239" i="12"/>
  <c r="O239" i="12"/>
  <c r="K239" i="12"/>
  <c r="P127" i="12"/>
  <c r="P126" i="12"/>
  <c r="P125" i="12"/>
  <c r="P123" i="12"/>
  <c r="E125" i="12"/>
  <c r="N113" i="28"/>
  <c r="P113" i="28"/>
  <c r="O117" i="12"/>
  <c r="N117" i="12"/>
  <c r="M117" i="12"/>
  <c r="P110" i="28"/>
  <c r="P111" i="28"/>
  <c r="P112" i="28"/>
  <c r="P115" i="12"/>
  <c r="K232" i="29"/>
  <c r="G21" i="33"/>
  <c r="M232" i="29"/>
  <c r="I21" i="33"/>
  <c r="E114" i="29"/>
  <c r="P250" i="12"/>
  <c r="L232" i="29"/>
  <c r="H21" i="33"/>
  <c r="O232" i="29"/>
  <c r="K21" i="33"/>
  <c r="N232" i="29"/>
  <c r="J21" i="33"/>
  <c r="P238" i="12"/>
  <c r="P202" i="30"/>
  <c r="Q122" i="28"/>
  <c r="Q123" i="28"/>
  <c r="Q124" i="28"/>
  <c r="Q125" i="28"/>
  <c r="Q126" i="28"/>
  <c r="Q127" i="28"/>
  <c r="Q128" i="28"/>
  <c r="Q129" i="28"/>
  <c r="Q130" i="28"/>
  <c r="Q131" i="28"/>
  <c r="Q132" i="28"/>
  <c r="Q133" i="28"/>
  <c r="Q134" i="28"/>
  <c r="Q135" i="28"/>
  <c r="Q136" i="28"/>
  <c r="Q137" i="28"/>
  <c r="Q138" i="28"/>
  <c r="Q139" i="28"/>
  <c r="Q140" i="28"/>
  <c r="Q141" i="28"/>
  <c r="Q142" i="28"/>
  <c r="Q143" i="28"/>
  <c r="Q144" i="28"/>
  <c r="Q145" i="28"/>
  <c r="Q146" i="28"/>
  <c r="Q147" i="28"/>
  <c r="Q148" i="28"/>
  <c r="Q149" i="28"/>
  <c r="Q150" i="28"/>
  <c r="Q151" i="28"/>
  <c r="Q152" i="28"/>
  <c r="Q153" i="28"/>
  <c r="Q154" i="28"/>
  <c r="Q155" i="28"/>
  <c r="Q156" i="28"/>
  <c r="Q157" i="28"/>
  <c r="Q158" i="28"/>
  <c r="Q159" i="28"/>
  <c r="Q160" i="28"/>
  <c r="Q161" i="28"/>
  <c r="Q162" i="28"/>
  <c r="Q163" i="28"/>
  <c r="Q164" i="28"/>
  <c r="Q165" i="28"/>
  <c r="Q166" i="28"/>
  <c r="Q167" i="28"/>
  <c r="Q168" i="28"/>
  <c r="Q169" i="28"/>
  <c r="Q170" i="28"/>
  <c r="Q171" i="28"/>
  <c r="Q172" i="28"/>
  <c r="Q173" i="28"/>
  <c r="Q174" i="28"/>
  <c r="Q175" i="28"/>
  <c r="Q176" i="28"/>
  <c r="Q177" i="28"/>
  <c r="Q178" i="28"/>
  <c r="Q179" i="28"/>
  <c r="Q180" i="28"/>
  <c r="Q181" i="28"/>
  <c r="Q182" i="28"/>
  <c r="Q183" i="28"/>
  <c r="Q184" i="28"/>
  <c r="Q185" i="28"/>
  <c r="Q186" i="28"/>
  <c r="Q187" i="28"/>
  <c r="P252" i="28"/>
  <c r="Q102" i="30"/>
  <c r="Q103" i="30"/>
  <c r="Q104" i="30"/>
  <c r="Q105" i="30"/>
  <c r="Q106" i="30"/>
  <c r="Q107" i="30"/>
  <c r="Q108" i="30"/>
  <c r="Q109" i="30"/>
  <c r="Q110" i="30"/>
  <c r="Q111" i="30"/>
  <c r="Q112" i="30"/>
  <c r="Q113" i="30"/>
  <c r="Q114" i="30"/>
  <c r="Q115" i="30"/>
  <c r="Q116" i="30"/>
  <c r="Q117" i="30"/>
  <c r="Q118" i="30"/>
  <c r="Q119" i="30"/>
  <c r="Q120" i="30"/>
  <c r="Q121" i="30"/>
  <c r="Q122" i="30"/>
  <c r="Q123" i="30"/>
  <c r="Q124" i="30"/>
  <c r="Q125" i="30"/>
  <c r="Q126" i="30"/>
  <c r="Q127" i="30"/>
  <c r="Q128" i="30"/>
  <c r="Q129" i="30"/>
  <c r="Q130" i="30"/>
  <c r="Q131" i="30"/>
  <c r="Q132" i="30"/>
  <c r="Q133" i="30"/>
  <c r="Q134" i="30"/>
  <c r="Q135" i="30"/>
  <c r="Q136" i="30"/>
  <c r="Q137" i="30"/>
  <c r="Q138" i="30"/>
  <c r="Q139" i="30"/>
  <c r="Q140" i="30"/>
  <c r="Q141" i="30"/>
  <c r="Q142" i="30"/>
  <c r="Q143" i="30"/>
  <c r="Q144" i="30"/>
  <c r="Q145" i="30"/>
  <c r="Q146" i="30"/>
  <c r="Q147" i="30"/>
  <c r="Q148" i="30"/>
  <c r="Q149" i="30"/>
  <c r="Q150" i="30"/>
  <c r="Q151" i="30"/>
  <c r="Q152" i="30"/>
  <c r="M155" i="30"/>
  <c r="I26" i="33"/>
  <c r="K155" i="30"/>
  <c r="G26" i="33"/>
  <c r="O155" i="30"/>
  <c r="K26" i="33"/>
  <c r="N155" i="30"/>
  <c r="J26" i="33"/>
  <c r="L155" i="30"/>
  <c r="H26" i="33"/>
  <c r="O190" i="28"/>
  <c r="K12" i="33"/>
  <c r="M190" i="28"/>
  <c r="I12" i="33"/>
  <c r="N190" i="28"/>
  <c r="J12" i="33"/>
  <c r="G13" i="33"/>
  <c r="G15" i="33"/>
  <c r="L190" i="28"/>
  <c r="H12" i="33"/>
  <c r="O177" i="29"/>
  <c r="P114" i="29"/>
  <c r="P116" i="29"/>
  <c r="K177" i="29"/>
  <c r="P115" i="29"/>
  <c r="L177" i="29"/>
  <c r="P117" i="29"/>
  <c r="P189" i="28"/>
  <c r="N177" i="29"/>
  <c r="M177" i="29"/>
  <c r="I19" i="33"/>
  <c r="P154" i="30"/>
  <c r="K190" i="28"/>
  <c r="M192" i="12"/>
  <c r="Q125" i="12"/>
  <c r="Q126" i="12"/>
  <c r="Q127" i="12"/>
  <c r="N192" i="12"/>
  <c r="K192" i="12"/>
  <c r="G5" i="33"/>
  <c r="O192" i="12"/>
  <c r="L192" i="12"/>
  <c r="P90" i="30"/>
  <c r="P91" i="30"/>
  <c r="P92" i="30"/>
  <c r="P93" i="30"/>
  <c r="Q93" i="30"/>
  <c r="K89" i="30"/>
  <c r="P89" i="30"/>
  <c r="P232" i="29"/>
  <c r="P155" i="30"/>
  <c r="G27" i="33"/>
  <c r="G29" i="33"/>
  <c r="H29" i="33"/>
  <c r="H27" i="33"/>
  <c r="I27" i="33"/>
  <c r="I29" i="33"/>
  <c r="J27" i="33"/>
  <c r="J29" i="33"/>
  <c r="L26" i="33"/>
  <c r="K27" i="33"/>
  <c r="K29" i="33"/>
  <c r="L21" i="33"/>
  <c r="L35" i="33"/>
  <c r="L12" i="33"/>
  <c r="P190" i="28"/>
  <c r="H13" i="33"/>
  <c r="H15" i="33"/>
  <c r="I13" i="33"/>
  <c r="I15" i="33"/>
  <c r="J13" i="33"/>
  <c r="J15" i="33"/>
  <c r="K15" i="33"/>
  <c r="K13" i="33"/>
  <c r="N193" i="12"/>
  <c r="J5" i="33"/>
  <c r="L193" i="12"/>
  <c r="H5" i="33"/>
  <c r="O193" i="12"/>
  <c r="K5" i="33"/>
  <c r="M193" i="12"/>
  <c r="I5" i="33"/>
  <c r="G8" i="33"/>
  <c r="G6" i="33"/>
  <c r="K178" i="29"/>
  <c r="K179" i="29"/>
  <c r="G19" i="33"/>
  <c r="O178" i="29"/>
  <c r="O179" i="29"/>
  <c r="K19" i="33"/>
  <c r="N178" i="29"/>
  <c r="N179" i="29"/>
  <c r="J19" i="33"/>
  <c r="J20" i="33"/>
  <c r="I22" i="33"/>
  <c r="I20" i="33"/>
  <c r="L178" i="29"/>
  <c r="L179" i="29"/>
  <c r="H19" i="33"/>
  <c r="Q114" i="29"/>
  <c r="Q115" i="29"/>
  <c r="Q116" i="29"/>
  <c r="Q117" i="29"/>
  <c r="Q118" i="29"/>
  <c r="Q119" i="29"/>
  <c r="Q120" i="29"/>
  <c r="Q121" i="29"/>
  <c r="Q122" i="29"/>
  <c r="Q123" i="29"/>
  <c r="Q124" i="29"/>
  <c r="Q125" i="29"/>
  <c r="Q126" i="29"/>
  <c r="Q127" i="29"/>
  <c r="Q128" i="29"/>
  <c r="Q129" i="29"/>
  <c r="Q130" i="29"/>
  <c r="Q131" i="29"/>
  <c r="Q132" i="29"/>
  <c r="Q133" i="29"/>
  <c r="Q134" i="29"/>
  <c r="Q135" i="29"/>
  <c r="Q136" i="29"/>
  <c r="Q137" i="29"/>
  <c r="Q138" i="29"/>
  <c r="Q139" i="29"/>
  <c r="Q140" i="29"/>
  <c r="Q141" i="29"/>
  <c r="Q142" i="29"/>
  <c r="Q143" i="29"/>
  <c r="Q144" i="29"/>
  <c r="Q145" i="29"/>
  <c r="Q146" i="29"/>
  <c r="Q147" i="29"/>
  <c r="Q148" i="29"/>
  <c r="Q149" i="29"/>
  <c r="Q150" i="29"/>
  <c r="Q151" i="29"/>
  <c r="Q152" i="29"/>
  <c r="Q153" i="29"/>
  <c r="Q154" i="29"/>
  <c r="Q155" i="29"/>
  <c r="Q156" i="29"/>
  <c r="Q157" i="29"/>
  <c r="Q158" i="29"/>
  <c r="Q159" i="29"/>
  <c r="Q160" i="29"/>
  <c r="Q161" i="29"/>
  <c r="Q162" i="29"/>
  <c r="Q163" i="29"/>
  <c r="Q164" i="29"/>
  <c r="Q165" i="29"/>
  <c r="Q166" i="29"/>
  <c r="Q167" i="29"/>
  <c r="Q168" i="29"/>
  <c r="Q169" i="29"/>
  <c r="Q170" i="29"/>
  <c r="Q171" i="29"/>
  <c r="Q172" i="29"/>
  <c r="Q173" i="29"/>
  <c r="Q174" i="29"/>
  <c r="Q175" i="29"/>
  <c r="P177" i="29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M178" i="29"/>
  <c r="M179" i="29"/>
  <c r="P192" i="12"/>
  <c r="K193" i="12"/>
  <c r="P114" i="12"/>
  <c r="P116" i="12"/>
  <c r="P117" i="12"/>
  <c r="P118" i="12"/>
  <c r="Q118" i="12"/>
  <c r="P113" i="12"/>
  <c r="P111" i="12"/>
  <c r="P112" i="12"/>
  <c r="P108" i="12"/>
  <c r="P109" i="12"/>
  <c r="P110" i="12"/>
  <c r="K87" i="30"/>
  <c r="P87" i="30"/>
  <c r="K88" i="30"/>
  <c r="P88" i="30"/>
  <c r="K85" i="30"/>
  <c r="P85" i="30"/>
  <c r="K86" i="30"/>
  <c r="P86" i="30"/>
  <c r="K106" i="29"/>
  <c r="P106" i="29"/>
  <c r="K105" i="29"/>
  <c r="L105" i="29"/>
  <c r="M105" i="29"/>
  <c r="N105" i="29"/>
  <c r="O105" i="29"/>
  <c r="P251" i="12"/>
  <c r="P193" i="12"/>
  <c r="L5" i="33"/>
  <c r="L27" i="33"/>
  <c r="L29" i="33"/>
  <c r="L15" i="33"/>
  <c r="L13" i="33"/>
  <c r="I8" i="33"/>
  <c r="I6" i="33"/>
  <c r="H8" i="33"/>
  <c r="H6" i="33"/>
  <c r="K8" i="33"/>
  <c r="K6" i="33"/>
  <c r="J8" i="33"/>
  <c r="J6" i="33"/>
  <c r="H20" i="33"/>
  <c r="H22" i="33"/>
  <c r="P178" i="29"/>
  <c r="P179" i="29"/>
  <c r="J22" i="33"/>
  <c r="K20" i="33"/>
  <c r="K22" i="33"/>
  <c r="G20" i="33"/>
  <c r="L19" i="33"/>
  <c r="G22" i="33"/>
  <c r="P105" i="29"/>
  <c r="P106" i="12"/>
  <c r="P107" i="12"/>
  <c r="P104" i="12"/>
  <c r="P105" i="12"/>
  <c r="K84" i="30"/>
  <c r="P84" i="30"/>
  <c r="K83" i="30"/>
  <c r="P83" i="30"/>
  <c r="O104" i="29"/>
  <c r="N104" i="29"/>
  <c r="M104" i="29"/>
  <c r="L104" i="29"/>
  <c r="K104" i="29"/>
  <c r="P103" i="12"/>
  <c r="P102" i="12"/>
  <c r="L33" i="33"/>
  <c r="L34" i="33"/>
  <c r="L6" i="33"/>
  <c r="L8" i="33"/>
  <c r="L22" i="33"/>
  <c r="L20" i="33"/>
  <c r="P104" i="29"/>
  <c r="P82" i="30"/>
  <c r="P106" i="28"/>
  <c r="P107" i="28"/>
  <c r="P108" i="28"/>
  <c r="P109" i="28"/>
  <c r="K102" i="29"/>
  <c r="L102" i="29"/>
  <c r="M102" i="29"/>
  <c r="N102" i="29"/>
  <c r="O102" i="29"/>
  <c r="K103" i="29"/>
  <c r="L103" i="29"/>
  <c r="M103" i="29"/>
  <c r="N103" i="29"/>
  <c r="O103" i="29"/>
  <c r="K101" i="29"/>
  <c r="L101" i="29"/>
  <c r="M101" i="29"/>
  <c r="N101" i="29"/>
  <c r="O101" i="29"/>
  <c r="K100" i="29"/>
  <c r="L100" i="29"/>
  <c r="M100" i="29"/>
  <c r="N100" i="29"/>
  <c r="O100" i="29"/>
  <c r="M99" i="29"/>
  <c r="N99" i="29"/>
  <c r="O99" i="29"/>
  <c r="L99" i="29"/>
  <c r="K99" i="29"/>
  <c r="P97" i="29"/>
  <c r="N91" i="28"/>
  <c r="K78" i="30"/>
  <c r="P78" i="30"/>
  <c r="K79" i="30"/>
  <c r="P79" i="30"/>
  <c r="K80" i="30"/>
  <c r="P80" i="30"/>
  <c r="K81" i="30"/>
  <c r="P81" i="30"/>
  <c r="P98" i="12"/>
  <c r="P99" i="12"/>
  <c r="P96" i="12"/>
  <c r="P97" i="12"/>
  <c r="P100" i="12"/>
  <c r="P101" i="12"/>
  <c r="P94" i="12"/>
  <c r="P95" i="12"/>
  <c r="P92" i="12"/>
  <c r="P93" i="12"/>
  <c r="P90" i="12"/>
  <c r="P91" i="12"/>
  <c r="K77" i="30"/>
  <c r="P77" i="30"/>
  <c r="K76" i="30"/>
  <c r="P76" i="30"/>
  <c r="K98" i="29"/>
  <c r="P98" i="29"/>
  <c r="L36" i="33"/>
  <c r="P100" i="29"/>
  <c r="P101" i="29"/>
  <c r="P102" i="29"/>
  <c r="P103" i="29"/>
  <c r="P99" i="29"/>
  <c r="K75" i="30"/>
  <c r="P75" i="30"/>
  <c r="P88" i="12"/>
  <c r="P89" i="12"/>
  <c r="K73" i="30"/>
  <c r="P73" i="30"/>
  <c r="K74" i="30"/>
  <c r="P74" i="30"/>
  <c r="K72" i="30"/>
  <c r="P72" i="30"/>
  <c r="K71" i="30"/>
  <c r="P71" i="30"/>
  <c r="P95" i="29"/>
  <c r="P96" i="29"/>
  <c r="P93" i="29"/>
  <c r="P94" i="29"/>
  <c r="K104" i="28"/>
  <c r="L104" i="28"/>
  <c r="M104" i="28"/>
  <c r="N104" i="28"/>
  <c r="O104" i="28"/>
  <c r="K105" i="28"/>
  <c r="L105" i="28"/>
  <c r="M105" i="28"/>
  <c r="N105" i="28"/>
  <c r="O105" i="28"/>
  <c r="P104" i="28"/>
  <c r="P105" i="28"/>
  <c r="P87" i="12"/>
  <c r="P84" i="12"/>
  <c r="P85" i="12"/>
  <c r="P86" i="12"/>
  <c r="P70" i="30"/>
  <c r="P89" i="29"/>
  <c r="P90" i="29"/>
  <c r="P91" i="29"/>
  <c r="P92" i="29"/>
  <c r="P81" i="12"/>
  <c r="P82" i="12"/>
  <c r="P83" i="12"/>
  <c r="P87" i="29"/>
  <c r="P88" i="29"/>
  <c r="P84" i="29"/>
  <c r="P85" i="29"/>
  <c r="P86" i="29"/>
  <c r="K102" i="28"/>
  <c r="L102" i="28"/>
  <c r="M102" i="28"/>
  <c r="N102" i="28"/>
  <c r="O102" i="28"/>
  <c r="K103" i="28"/>
  <c r="L103" i="28"/>
  <c r="M103" i="28"/>
  <c r="N103" i="28"/>
  <c r="O103" i="28"/>
  <c r="K99" i="28"/>
  <c r="L99" i="28"/>
  <c r="M99" i="28"/>
  <c r="N99" i="28"/>
  <c r="O99" i="28"/>
  <c r="K100" i="28"/>
  <c r="L100" i="28"/>
  <c r="M100" i="28"/>
  <c r="N100" i="28"/>
  <c r="O100" i="28"/>
  <c r="K101" i="28"/>
  <c r="L101" i="28"/>
  <c r="M101" i="28"/>
  <c r="N101" i="28"/>
  <c r="O101" i="28"/>
  <c r="P79" i="12"/>
  <c r="P80" i="12"/>
  <c r="P83" i="29"/>
  <c r="P79" i="29"/>
  <c r="P80" i="29"/>
  <c r="P81" i="29"/>
  <c r="P82" i="29"/>
  <c r="P77" i="29"/>
  <c r="P78" i="29"/>
  <c r="K69" i="30"/>
  <c r="P69" i="30"/>
  <c r="N96" i="28"/>
  <c r="P96" i="28"/>
  <c r="K97" i="28"/>
  <c r="L97" i="28"/>
  <c r="M97" i="28"/>
  <c r="N97" i="28"/>
  <c r="O97" i="28"/>
  <c r="K98" i="28"/>
  <c r="L98" i="28"/>
  <c r="M98" i="28"/>
  <c r="N98" i="28"/>
  <c r="O98" i="28"/>
  <c r="K94" i="28"/>
  <c r="L94" i="28"/>
  <c r="M94" i="28"/>
  <c r="N94" i="28"/>
  <c r="O94" i="28"/>
  <c r="K95" i="28"/>
  <c r="L95" i="28"/>
  <c r="M95" i="28"/>
  <c r="N95" i="28"/>
  <c r="O95" i="28"/>
  <c r="P68" i="12"/>
  <c r="P69" i="12"/>
  <c r="P70" i="12"/>
  <c r="P71" i="12"/>
  <c r="P72" i="12"/>
  <c r="P73" i="12"/>
  <c r="P74" i="12"/>
  <c r="P75" i="12"/>
  <c r="P76" i="12"/>
  <c r="P77" i="12"/>
  <c r="P78" i="12"/>
  <c r="P101" i="28"/>
  <c r="P98" i="28"/>
  <c r="P97" i="28"/>
  <c r="P103" i="28"/>
  <c r="P102" i="28"/>
  <c r="P99" i="28"/>
  <c r="P94" i="28"/>
  <c r="P100" i="28"/>
  <c r="P95" i="28"/>
  <c r="P67" i="12"/>
  <c r="K66" i="30"/>
  <c r="P66" i="30"/>
  <c r="K67" i="30"/>
  <c r="P67" i="30"/>
  <c r="K68" i="30"/>
  <c r="P68" i="30"/>
  <c r="P71" i="29"/>
  <c r="P72" i="29"/>
  <c r="P73" i="29"/>
  <c r="P74" i="29"/>
  <c r="P75" i="29"/>
  <c r="P76" i="29"/>
  <c r="P70" i="29"/>
  <c r="O93" i="28"/>
  <c r="N93" i="28"/>
  <c r="M93" i="28"/>
  <c r="L93" i="28"/>
  <c r="K93" i="28"/>
  <c r="O92" i="28"/>
  <c r="N92" i="28"/>
  <c r="M92" i="28"/>
  <c r="L92" i="28"/>
  <c r="K92" i="28"/>
  <c r="P65" i="12"/>
  <c r="P66" i="12"/>
  <c r="P91" i="28"/>
  <c r="P67" i="29"/>
  <c r="P68" i="29"/>
  <c r="P69" i="29"/>
  <c r="P93" i="28"/>
  <c r="P92" i="28"/>
  <c r="K65" i="30"/>
  <c r="P65" i="30"/>
  <c r="K90" i="28"/>
  <c r="L90" i="28"/>
  <c r="M90" i="28"/>
  <c r="N90" i="28"/>
  <c r="O90" i="28"/>
  <c r="P89" i="28"/>
  <c r="P64" i="12"/>
  <c r="K88" i="28"/>
  <c r="L88" i="28"/>
  <c r="M88" i="28"/>
  <c r="N88" i="28"/>
  <c r="O88" i="28"/>
  <c r="P63" i="12"/>
  <c r="P65" i="29"/>
  <c r="P66" i="29"/>
  <c r="K63" i="30"/>
  <c r="P63" i="30"/>
  <c r="K64" i="30"/>
  <c r="P64" i="30"/>
  <c r="K85" i="28"/>
  <c r="L85" i="28"/>
  <c r="M85" i="28"/>
  <c r="N85" i="28"/>
  <c r="O85" i="28"/>
  <c r="K86" i="28"/>
  <c r="L86" i="28"/>
  <c r="M86" i="28"/>
  <c r="N86" i="28"/>
  <c r="O86" i="28"/>
  <c r="K87" i="28"/>
  <c r="L87" i="28"/>
  <c r="M87" i="28"/>
  <c r="N87" i="28"/>
  <c r="O87" i="28"/>
  <c r="P60" i="12"/>
  <c r="P61" i="12"/>
  <c r="P62" i="12"/>
  <c r="P90" i="28"/>
  <c r="P85" i="28"/>
  <c r="P88" i="28"/>
  <c r="P87" i="28"/>
  <c r="P86" i="28"/>
  <c r="K62" i="30"/>
  <c r="P62" i="30"/>
  <c r="K61" i="30"/>
  <c r="P61" i="30"/>
  <c r="K59" i="30"/>
  <c r="P59" i="30"/>
  <c r="K60" i="30"/>
  <c r="P60" i="30"/>
  <c r="P63" i="29"/>
  <c r="P64" i="29"/>
  <c r="K82" i="28"/>
  <c r="L82" i="28"/>
  <c r="M82" i="28"/>
  <c r="N82" i="28"/>
  <c r="O82" i="28"/>
  <c r="K83" i="28"/>
  <c r="L83" i="28"/>
  <c r="M83" i="28"/>
  <c r="N83" i="28"/>
  <c r="O83" i="28"/>
  <c r="K84" i="28"/>
  <c r="L84" i="28"/>
  <c r="M84" i="28"/>
  <c r="N84" i="28"/>
  <c r="O84" i="28"/>
  <c r="P57" i="12"/>
  <c r="P58" i="12"/>
  <c r="P59" i="12"/>
  <c r="K58" i="30"/>
  <c r="P58" i="30"/>
  <c r="K57" i="30"/>
  <c r="P57" i="30"/>
  <c r="K56" i="30"/>
  <c r="P56" i="30"/>
  <c r="P62" i="29"/>
  <c r="P61" i="29"/>
  <c r="P60" i="29"/>
  <c r="K80" i="28"/>
  <c r="L80" i="28"/>
  <c r="M80" i="28"/>
  <c r="N80" i="28"/>
  <c r="O80" i="28"/>
  <c r="K81" i="28"/>
  <c r="L81" i="28"/>
  <c r="M81" i="28"/>
  <c r="N81" i="28"/>
  <c r="O81" i="28"/>
  <c r="K79" i="28"/>
  <c r="L79" i="28"/>
  <c r="M79" i="28"/>
  <c r="N79" i="28"/>
  <c r="O79" i="28"/>
  <c r="K77" i="28"/>
  <c r="L77" i="28"/>
  <c r="M77" i="28"/>
  <c r="N77" i="28"/>
  <c r="O77" i="28"/>
  <c r="P54" i="12"/>
  <c r="P55" i="12"/>
  <c r="P56" i="12"/>
  <c r="P53" i="12"/>
  <c r="P52" i="30"/>
  <c r="P54" i="30"/>
  <c r="K55" i="30"/>
  <c r="P55" i="30"/>
  <c r="K76" i="28"/>
  <c r="L76" i="28"/>
  <c r="M76" i="28"/>
  <c r="N76" i="28"/>
  <c r="O76" i="28"/>
  <c r="P80" i="28"/>
  <c r="P82" i="28"/>
  <c r="P81" i="28"/>
  <c r="P79" i="28"/>
  <c r="P78" i="28"/>
  <c r="P84" i="28"/>
  <c r="P83" i="28"/>
  <c r="P76" i="28"/>
  <c r="P77" i="28"/>
  <c r="P59" i="29"/>
  <c r="P58" i="29"/>
  <c r="K53" i="30"/>
  <c r="P53" i="30"/>
  <c r="K75" i="28"/>
  <c r="L75" i="28"/>
  <c r="M75" i="28"/>
  <c r="N75" i="28"/>
  <c r="O75" i="28"/>
  <c r="K74" i="28"/>
  <c r="L74" i="28"/>
  <c r="M74" i="28"/>
  <c r="N74" i="28"/>
  <c r="O74" i="28"/>
  <c r="P57" i="29"/>
  <c r="K51" i="30"/>
  <c r="P51" i="30"/>
  <c r="P51" i="12"/>
  <c r="P52" i="12"/>
  <c r="K73" i="28"/>
  <c r="L73" i="28"/>
  <c r="M73" i="28"/>
  <c r="N73" i="28"/>
  <c r="O73" i="28"/>
  <c r="P56" i="29"/>
  <c r="P55" i="29"/>
  <c r="P50" i="30"/>
  <c r="O72" i="28"/>
  <c r="N72" i="28"/>
  <c r="M72" i="28"/>
  <c r="L72" i="28"/>
  <c r="K72" i="28"/>
  <c r="O71" i="28"/>
  <c r="N71" i="28"/>
  <c r="M71" i="28"/>
  <c r="L71" i="28"/>
  <c r="K71" i="28"/>
  <c r="O70" i="28"/>
  <c r="N70" i="28"/>
  <c r="M70" i="28"/>
  <c r="L70" i="28"/>
  <c r="K70" i="28"/>
  <c r="O69" i="28"/>
  <c r="N69" i="28"/>
  <c r="M69" i="28"/>
  <c r="L69" i="28"/>
  <c r="K69" i="28"/>
  <c r="K53" i="29"/>
  <c r="K68" i="28"/>
  <c r="L68" i="28"/>
  <c r="M68" i="28"/>
  <c r="N68" i="28"/>
  <c r="O68" i="28"/>
  <c r="P48" i="12"/>
  <c r="P49" i="12"/>
  <c r="L50" i="12"/>
  <c r="O50" i="12"/>
  <c r="K50" i="12"/>
  <c r="K67" i="28"/>
  <c r="L67" i="28"/>
  <c r="M67" i="28"/>
  <c r="N67" i="28"/>
  <c r="O67" i="28"/>
  <c r="P75" i="28"/>
  <c r="P74" i="28"/>
  <c r="P50" i="12"/>
  <c r="P73" i="28"/>
  <c r="P72" i="28"/>
  <c r="P71" i="28"/>
  <c r="P69" i="28"/>
  <c r="P70" i="28"/>
  <c r="P68" i="28"/>
  <c r="P67" i="28"/>
  <c r="P53" i="29"/>
  <c r="P54" i="29"/>
  <c r="P51" i="29"/>
  <c r="M52" i="29"/>
  <c r="N52" i="29"/>
  <c r="O52" i="29"/>
  <c r="L52" i="29"/>
  <c r="K52" i="29"/>
  <c r="K65" i="28"/>
  <c r="L65" i="28"/>
  <c r="M65" i="28"/>
  <c r="N65" i="28"/>
  <c r="O65" i="28"/>
  <c r="P52" i="29"/>
  <c r="P65" i="28"/>
  <c r="P64" i="28"/>
  <c r="P66" i="28"/>
  <c r="P45" i="30"/>
  <c r="P46" i="30"/>
  <c r="P47" i="30"/>
  <c r="P48" i="30"/>
  <c r="P49" i="30"/>
  <c r="P44" i="30"/>
  <c r="K63" i="28"/>
  <c r="L63" i="28"/>
  <c r="M63" i="28"/>
  <c r="N63" i="28"/>
  <c r="O63" i="28"/>
  <c r="P50" i="29"/>
  <c r="P63" i="28"/>
  <c r="P43" i="30"/>
  <c r="N46" i="12"/>
  <c r="M46" i="12"/>
  <c r="L46" i="12"/>
  <c r="O46" i="12"/>
  <c r="K46" i="12"/>
  <c r="P42" i="30"/>
  <c r="P41" i="30"/>
  <c r="K61" i="28"/>
  <c r="L61" i="28"/>
  <c r="M61" i="28"/>
  <c r="N61" i="28"/>
  <c r="O61" i="28"/>
  <c r="P62" i="28"/>
  <c r="K48" i="29"/>
  <c r="K59" i="28"/>
  <c r="L59" i="28"/>
  <c r="M59" i="28"/>
  <c r="N59" i="28"/>
  <c r="O59" i="28"/>
  <c r="P60" i="28"/>
  <c r="P61" i="28"/>
  <c r="P59" i="28"/>
  <c r="M47" i="29"/>
  <c r="N47" i="29"/>
  <c r="O47" i="29"/>
  <c r="L47" i="29"/>
  <c r="K47" i="29"/>
  <c r="O57" i="28"/>
  <c r="N57" i="28"/>
  <c r="M57" i="28"/>
  <c r="L57" i="28"/>
  <c r="K57" i="28"/>
  <c r="P58" i="28"/>
  <c r="K39" i="29"/>
  <c r="O56" i="28"/>
  <c r="N56" i="28"/>
  <c r="M56" i="28"/>
  <c r="L56" i="28"/>
  <c r="K56" i="28"/>
  <c r="P36" i="12"/>
  <c r="P37" i="12"/>
  <c r="P38" i="12"/>
  <c r="P39" i="12"/>
  <c r="Q39" i="12"/>
  <c r="P57" i="28"/>
  <c r="P56" i="28"/>
  <c r="M32" i="30"/>
  <c r="P32" i="30"/>
  <c r="P31" i="30"/>
  <c r="P33" i="30"/>
  <c r="Q33" i="30"/>
  <c r="K38" i="29"/>
  <c r="L36" i="30"/>
  <c r="L32" i="32"/>
  <c r="L38" i="33"/>
  <c r="P33" i="12"/>
  <c r="P29" i="30"/>
  <c r="P30" i="30"/>
  <c r="K55" i="28"/>
  <c r="L55" i="28"/>
  <c r="M55" i="28"/>
  <c r="N55" i="28"/>
  <c r="O55" i="28"/>
  <c r="P32" i="12"/>
  <c r="P28" i="30"/>
  <c r="P38" i="29"/>
  <c r="P39" i="29"/>
  <c r="P40" i="29"/>
  <c r="Q40" i="29"/>
  <c r="P37" i="29"/>
  <c r="P35" i="29"/>
  <c r="P36" i="29"/>
  <c r="K54" i="28"/>
  <c r="L54" i="28"/>
  <c r="M54" i="28"/>
  <c r="N54" i="28"/>
  <c r="O54" i="28"/>
  <c r="K51" i="28"/>
  <c r="L51" i="28"/>
  <c r="M51" i="28"/>
  <c r="N51" i="28"/>
  <c r="O51" i="28"/>
  <c r="K52" i="28"/>
  <c r="L52" i="28"/>
  <c r="M52" i="28"/>
  <c r="N52" i="28"/>
  <c r="O52" i="28"/>
  <c r="K53" i="28"/>
  <c r="L53" i="28"/>
  <c r="M53" i="28"/>
  <c r="N53" i="28"/>
  <c r="O53" i="28"/>
  <c r="P31" i="12"/>
  <c r="P34" i="12"/>
  <c r="P35" i="12"/>
  <c r="O50" i="28"/>
  <c r="N50" i="28"/>
  <c r="M50" i="28"/>
  <c r="L50" i="28"/>
  <c r="K50" i="28"/>
  <c r="K49" i="28"/>
  <c r="L49" i="28"/>
  <c r="M49" i="28"/>
  <c r="N49" i="28"/>
  <c r="O49" i="28"/>
  <c r="P27" i="30"/>
  <c r="P26" i="30"/>
  <c r="K48" i="28"/>
  <c r="L48" i="28"/>
  <c r="M48" i="28"/>
  <c r="N48" i="28"/>
  <c r="O48" i="28"/>
  <c r="N47" i="28"/>
  <c r="L47" i="28"/>
  <c r="M47" i="28"/>
  <c r="O47" i="28"/>
  <c r="K47" i="28"/>
  <c r="P33" i="29"/>
  <c r="P34" i="29"/>
  <c r="P38" i="28"/>
  <c r="P40" i="28"/>
  <c r="Q40" i="28"/>
  <c r="N39" i="28"/>
  <c r="P39" i="28"/>
  <c r="P25" i="30"/>
  <c r="P29" i="12"/>
  <c r="P30" i="12"/>
  <c r="P23" i="30"/>
  <c r="P24" i="30"/>
  <c r="P22" i="30"/>
  <c r="P27" i="12"/>
  <c r="P28" i="12"/>
  <c r="P37" i="28"/>
  <c r="P53" i="28"/>
  <c r="P52" i="28"/>
  <c r="P51" i="28"/>
  <c r="P54" i="28"/>
  <c r="P55" i="28"/>
  <c r="P50" i="28"/>
  <c r="P49" i="28"/>
  <c r="P35" i="28"/>
  <c r="P36" i="28"/>
  <c r="P34" i="28"/>
  <c r="P31" i="29"/>
  <c r="P33" i="28"/>
  <c r="P32" i="28"/>
  <c r="P31" i="28"/>
  <c r="P29" i="29"/>
  <c r="P30" i="29"/>
  <c r="P32" i="29"/>
  <c r="P28" i="29"/>
  <c r="P30" i="28"/>
  <c r="P29" i="28"/>
  <c r="P26" i="12"/>
  <c r="P20" i="30"/>
  <c r="P21" i="30"/>
  <c r="P27" i="29"/>
  <c r="P27" i="28"/>
  <c r="P28" i="28"/>
  <c r="P25" i="12"/>
  <c r="P26" i="28"/>
  <c r="P19" i="30"/>
  <c r="P24" i="12"/>
  <c r="P25" i="28"/>
  <c r="K24" i="28"/>
  <c r="L24" i="28"/>
  <c r="M24" i="28"/>
  <c r="O24" i="28"/>
  <c r="P23" i="28"/>
  <c r="P17" i="30"/>
  <c r="P18" i="30"/>
  <c r="P23" i="29"/>
  <c r="P22" i="12"/>
  <c r="P23" i="12"/>
  <c r="L22" i="28"/>
  <c r="M22" i="28"/>
  <c r="O22" i="28"/>
  <c r="K22" i="28"/>
  <c r="P20" i="12"/>
  <c r="P21" i="12"/>
  <c r="P19" i="28"/>
  <c r="P20" i="28"/>
  <c r="P21" i="28"/>
  <c r="P21" i="29"/>
  <c r="P20" i="29"/>
  <c r="P19" i="29"/>
  <c r="P22" i="29"/>
  <c r="P24" i="29"/>
  <c r="P25" i="29"/>
  <c r="P26" i="29"/>
  <c r="P15" i="30"/>
  <c r="P14" i="30"/>
  <c r="P18" i="29"/>
  <c r="P19" i="12"/>
  <c r="P18" i="12"/>
  <c r="M17" i="29"/>
  <c r="M43" i="29"/>
  <c r="N17" i="29"/>
  <c r="N43" i="29"/>
  <c r="O17" i="29"/>
  <c r="O43" i="29"/>
  <c r="L17" i="29"/>
  <c r="L43" i="29"/>
  <c r="K17" i="29"/>
  <c r="K43" i="29"/>
  <c r="O14" i="12"/>
  <c r="P12" i="12"/>
  <c r="P15" i="12"/>
  <c r="P16" i="12"/>
  <c r="P17" i="12"/>
  <c r="N14" i="12"/>
  <c r="M14" i="12"/>
  <c r="P10" i="30"/>
  <c r="P12" i="30"/>
  <c r="P13" i="30"/>
  <c r="P16" i="30"/>
  <c r="P15" i="29"/>
  <c r="P13" i="28"/>
  <c r="P14" i="28"/>
  <c r="P15" i="28"/>
  <c r="P16" i="28"/>
  <c r="P17" i="28"/>
  <c r="P18" i="28"/>
  <c r="P13" i="29"/>
  <c r="P14" i="29"/>
  <c r="P16" i="29"/>
  <c r="N13" i="12"/>
  <c r="M13" i="12"/>
  <c r="L13" i="12"/>
  <c r="L42" i="12"/>
  <c r="O13" i="12"/>
  <c r="K13" i="12"/>
  <c r="K42" i="12"/>
  <c r="P10" i="29"/>
  <c r="P11" i="29"/>
  <c r="P12" i="29"/>
  <c r="P11" i="28"/>
  <c r="P12" i="28"/>
  <c r="M11" i="30"/>
  <c r="P11" i="30"/>
  <c r="P9" i="28"/>
  <c r="P10" i="28"/>
  <c r="P11" i="12"/>
  <c r="P9" i="12"/>
  <c r="P10" i="12"/>
  <c r="P8" i="30"/>
  <c r="K9" i="30"/>
  <c r="M8" i="12"/>
  <c r="N8" i="12"/>
  <c r="O42" i="12"/>
  <c r="P9" i="30"/>
  <c r="K36" i="30"/>
  <c r="P24" i="28"/>
  <c r="P22" i="28"/>
  <c r="P13" i="12"/>
  <c r="P14" i="12"/>
  <c r="P17" i="29"/>
  <c r="P8" i="12"/>
  <c r="P7" i="29"/>
  <c r="P8" i="29"/>
  <c r="P9" i="29"/>
  <c r="P8" i="28"/>
  <c r="N7" i="12"/>
  <c r="N42" i="12"/>
  <c r="M7" i="12"/>
  <c r="M42" i="12"/>
  <c r="O5" i="28"/>
  <c r="O7" i="28"/>
  <c r="N7" i="28"/>
  <c r="M7" i="28"/>
  <c r="L7" i="28"/>
  <c r="K7" i="28"/>
  <c r="N6" i="28"/>
  <c r="L6" i="28"/>
  <c r="M6" i="28"/>
  <c r="O6" i="28"/>
  <c r="O43" i="28"/>
  <c r="K6" i="28"/>
  <c r="N5" i="30"/>
  <c r="O5" i="30"/>
  <c r="M5" i="30"/>
  <c r="P5" i="29"/>
  <c r="N5" i="28"/>
  <c r="L5" i="28"/>
  <c r="M5" i="28"/>
  <c r="K5" i="28"/>
  <c r="O94" i="30"/>
  <c r="N94" i="30"/>
  <c r="M94" i="30"/>
  <c r="L94" i="30"/>
  <c r="K94" i="30"/>
  <c r="P40" i="30"/>
  <c r="Q40" i="30"/>
  <c r="Q41" i="30"/>
  <c r="Q42" i="30"/>
  <c r="Q43" i="30"/>
  <c r="Q44" i="30"/>
  <c r="Q45" i="30"/>
  <c r="Q46" i="30"/>
  <c r="Q47" i="30"/>
  <c r="Q48" i="30"/>
  <c r="Q49" i="30"/>
  <c r="Q50" i="30"/>
  <c r="Q51" i="30"/>
  <c r="Q52" i="30"/>
  <c r="Q53" i="30"/>
  <c r="Q54" i="30"/>
  <c r="Q55" i="30"/>
  <c r="Q56" i="30"/>
  <c r="Q57" i="30"/>
  <c r="Q58" i="30"/>
  <c r="Q59" i="30"/>
  <c r="Q60" i="30"/>
  <c r="Q61" i="30"/>
  <c r="Q62" i="30"/>
  <c r="Q63" i="30"/>
  <c r="Q64" i="30"/>
  <c r="Q65" i="30"/>
  <c r="Q66" i="30"/>
  <c r="Q67" i="30"/>
  <c r="Q68" i="30"/>
  <c r="Q69" i="30"/>
  <c r="Q70" i="30"/>
  <c r="Q71" i="30"/>
  <c r="Q72" i="30"/>
  <c r="Q73" i="30"/>
  <c r="Q74" i="30"/>
  <c r="Q75" i="30"/>
  <c r="Q76" i="30"/>
  <c r="Q77" i="30"/>
  <c r="Q78" i="30"/>
  <c r="Q79" i="30"/>
  <c r="Q80" i="30"/>
  <c r="Q81" i="30"/>
  <c r="Q82" i="30"/>
  <c r="Q83" i="30"/>
  <c r="Q84" i="30"/>
  <c r="Q85" i="30"/>
  <c r="Q86" i="30"/>
  <c r="Q87" i="30"/>
  <c r="Q88" i="30"/>
  <c r="Q89" i="30"/>
  <c r="Q90" i="30"/>
  <c r="Q91" i="30"/>
  <c r="Q92" i="30"/>
  <c r="P38" i="30"/>
  <c r="L34" i="30"/>
  <c r="K34" i="30"/>
  <c r="P7" i="30"/>
  <c r="P6" i="30"/>
  <c r="P3" i="30"/>
  <c r="E5" i="30"/>
  <c r="P208" i="30"/>
  <c r="K204" i="30"/>
  <c r="K205" i="30"/>
  <c r="K206" i="30"/>
  <c r="G28" i="32"/>
  <c r="H28" i="32"/>
  <c r="H26" i="32"/>
  <c r="L204" i="30"/>
  <c r="L205" i="30"/>
  <c r="L206" i="30"/>
  <c r="P203" i="30"/>
  <c r="K95" i="30"/>
  <c r="O95" i="30"/>
  <c r="L95" i="30"/>
  <c r="M95" i="30"/>
  <c r="N95" i="30"/>
  <c r="L43" i="28"/>
  <c r="M43" i="28"/>
  <c r="K43" i="28"/>
  <c r="N43" i="28"/>
  <c r="O34" i="30"/>
  <c r="K28" i="32"/>
  <c r="O36" i="30"/>
  <c r="K35" i="30"/>
  <c r="N34" i="30"/>
  <c r="J28" i="32"/>
  <c r="N36" i="30"/>
  <c r="L35" i="30"/>
  <c r="M34" i="30"/>
  <c r="I28" i="32"/>
  <c r="M36" i="30"/>
  <c r="P5" i="30"/>
  <c r="P5" i="28"/>
  <c r="E40" i="30"/>
  <c r="P94" i="30"/>
  <c r="L28" i="32"/>
  <c r="J26" i="32"/>
  <c r="I26" i="32"/>
  <c r="I27" i="32"/>
  <c r="K26" i="32"/>
  <c r="P95" i="30"/>
  <c r="N204" i="30"/>
  <c r="N205" i="30"/>
  <c r="N206" i="30"/>
  <c r="M204" i="30"/>
  <c r="M205" i="30"/>
  <c r="M206" i="30"/>
  <c r="O204" i="30"/>
  <c r="O205" i="30"/>
  <c r="O206" i="30"/>
  <c r="H27" i="32"/>
  <c r="H29" i="32"/>
  <c r="G27" i="32"/>
  <c r="G29" i="32"/>
  <c r="P34" i="30"/>
  <c r="P204" i="30"/>
  <c r="Q5" i="30"/>
  <c r="P36" i="30"/>
  <c r="M35" i="30"/>
  <c r="N35" i="30"/>
  <c r="J27" i="32"/>
  <c r="O35" i="30"/>
  <c r="K27" i="32"/>
  <c r="P209" i="30"/>
  <c r="P210" i="30"/>
  <c r="P211" i="30"/>
  <c r="L26" i="32"/>
  <c r="L27" i="32"/>
  <c r="P205" i="30"/>
  <c r="P206" i="30"/>
  <c r="J29" i="32"/>
  <c r="Q6" i="30"/>
  <c r="Q7" i="30"/>
  <c r="Q8" i="30"/>
  <c r="Q9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Q23" i="30"/>
  <c r="Q24" i="30"/>
  <c r="Q25" i="30"/>
  <c r="Q26" i="30"/>
  <c r="Q27" i="30"/>
  <c r="Q28" i="30"/>
  <c r="Q29" i="30"/>
  <c r="Q30" i="30"/>
  <c r="Q31" i="30"/>
  <c r="Q32" i="30"/>
  <c r="K29" i="32"/>
  <c r="I29" i="32"/>
  <c r="P35" i="30"/>
  <c r="O108" i="29"/>
  <c r="N108" i="29"/>
  <c r="M108" i="29"/>
  <c r="L108" i="29"/>
  <c r="K108" i="29"/>
  <c r="P49" i="29"/>
  <c r="P48" i="29"/>
  <c r="P47" i="29"/>
  <c r="Q47" i="29"/>
  <c r="P45" i="29"/>
  <c r="O41" i="29"/>
  <c r="N41" i="29"/>
  <c r="M41" i="29"/>
  <c r="L41" i="29"/>
  <c r="K41" i="29"/>
  <c r="P6" i="29"/>
  <c r="P43" i="29"/>
  <c r="Q5" i="29"/>
  <c r="P3" i="29"/>
  <c r="E5" i="29"/>
  <c r="O116" i="28"/>
  <c r="N116" i="28"/>
  <c r="M116" i="28"/>
  <c r="L116" i="28"/>
  <c r="K116" i="28"/>
  <c r="P48" i="28"/>
  <c r="P47" i="28"/>
  <c r="Q47" i="28"/>
  <c r="P45" i="28"/>
  <c r="O41" i="28"/>
  <c r="N41" i="28"/>
  <c r="M41" i="28"/>
  <c r="L41" i="28"/>
  <c r="K41" i="28"/>
  <c r="P7" i="28"/>
  <c r="P6" i="28"/>
  <c r="Q5" i="28"/>
  <c r="P3" i="28"/>
  <c r="E5" i="28"/>
  <c r="P258" i="28"/>
  <c r="P238" i="29"/>
  <c r="J12" i="32"/>
  <c r="J14" i="32"/>
  <c r="I12" i="32"/>
  <c r="I14" i="32"/>
  <c r="G14" i="32"/>
  <c r="G12" i="32"/>
  <c r="G13" i="32"/>
  <c r="K14" i="32"/>
  <c r="K12" i="32"/>
  <c r="H14" i="32"/>
  <c r="H12" i="32"/>
  <c r="J21" i="32"/>
  <c r="J19" i="32"/>
  <c r="G19" i="32"/>
  <c r="G21" i="32"/>
  <c r="K21" i="32"/>
  <c r="K19" i="32"/>
  <c r="I21" i="32"/>
  <c r="I19" i="32"/>
  <c r="H21" i="32"/>
  <c r="H19" i="32"/>
  <c r="L254" i="28"/>
  <c r="L255" i="28"/>
  <c r="L256" i="28"/>
  <c r="K234" i="29"/>
  <c r="K235" i="29"/>
  <c r="K236" i="29"/>
  <c r="O234" i="29"/>
  <c r="O235" i="29"/>
  <c r="O236" i="29"/>
  <c r="P233" i="29"/>
  <c r="L234" i="29"/>
  <c r="L235" i="29"/>
  <c r="L236" i="29"/>
  <c r="M234" i="29"/>
  <c r="M235" i="29"/>
  <c r="M236" i="29"/>
  <c r="N234" i="29"/>
  <c r="N235" i="29"/>
  <c r="N236" i="29"/>
  <c r="K254" i="28"/>
  <c r="K255" i="28"/>
  <c r="K256" i="28"/>
  <c r="P253" i="28"/>
  <c r="M254" i="28"/>
  <c r="M255" i="28"/>
  <c r="M256" i="28"/>
  <c r="O254" i="28"/>
  <c r="O255" i="28"/>
  <c r="O256" i="28"/>
  <c r="N254" i="28"/>
  <c r="N255" i="28"/>
  <c r="N256" i="28"/>
  <c r="O117" i="28"/>
  <c r="E47" i="28"/>
  <c r="L117" i="28"/>
  <c r="M117" i="28"/>
  <c r="N117" i="28"/>
  <c r="E47" i="29"/>
  <c r="K109" i="29"/>
  <c r="O109" i="29"/>
  <c r="N109" i="29"/>
  <c r="L109" i="29"/>
  <c r="M109" i="29"/>
  <c r="Q48" i="28"/>
  <c r="Q49" i="28"/>
  <c r="Q50" i="28"/>
  <c r="Q51" i="28"/>
  <c r="Q52" i="28"/>
  <c r="Q53" i="28"/>
  <c r="Q54" i="28"/>
  <c r="Q55" i="28"/>
  <c r="Q56" i="28"/>
  <c r="Q57" i="28"/>
  <c r="Q58" i="28"/>
  <c r="Q59" i="28"/>
  <c r="Q60" i="28"/>
  <c r="Q61" i="28"/>
  <c r="Q62" i="28"/>
  <c r="Q63" i="28"/>
  <c r="Q64" i="28"/>
  <c r="Q65" i="28"/>
  <c r="Q66" i="28"/>
  <c r="Q67" i="28"/>
  <c r="Q68" i="28"/>
  <c r="Q69" i="28"/>
  <c r="Q70" i="28"/>
  <c r="Q71" i="28"/>
  <c r="Q72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2" i="28"/>
  <c r="Q93" i="28"/>
  <c r="Q94" i="28"/>
  <c r="Q95" i="28"/>
  <c r="Q96" i="28"/>
  <c r="Q97" i="28"/>
  <c r="Q98" i="28"/>
  <c r="Q99" i="28"/>
  <c r="Q100" i="28"/>
  <c r="Q101" i="28"/>
  <c r="Q102" i="28"/>
  <c r="Q103" i="28"/>
  <c r="Q104" i="28"/>
  <c r="Q105" i="28"/>
  <c r="Q106" i="28"/>
  <c r="Q107" i="28"/>
  <c r="Q108" i="28"/>
  <c r="Q109" i="28"/>
  <c r="Q110" i="28"/>
  <c r="Q111" i="28"/>
  <c r="Q112" i="28"/>
  <c r="Q113" i="28"/>
  <c r="Q114" i="28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L29" i="32"/>
  <c r="O42" i="28"/>
  <c r="L42" i="28"/>
  <c r="N42" i="28"/>
  <c r="P43" i="28"/>
  <c r="M42" i="28"/>
  <c r="O42" i="29"/>
  <c r="N42" i="29"/>
  <c r="M42" i="29"/>
  <c r="L42" i="29"/>
  <c r="K42" i="29"/>
  <c r="P41" i="28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P116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P41" i="29"/>
  <c r="P108" i="29"/>
  <c r="P239" i="29"/>
  <c r="K42" i="28"/>
  <c r="K117" i="28"/>
  <c r="P3" i="12"/>
  <c r="E5" i="12"/>
  <c r="P259" i="28"/>
  <c r="L21" i="32"/>
  <c r="L12" i="32"/>
  <c r="L14" i="32"/>
  <c r="L19" i="32"/>
  <c r="P254" i="28"/>
  <c r="P255" i="28"/>
  <c r="P256" i="28"/>
  <c r="P240" i="29"/>
  <c r="P241" i="29"/>
  <c r="P234" i="29"/>
  <c r="P235" i="29"/>
  <c r="P236" i="29"/>
  <c r="P117" i="28"/>
  <c r="P109" i="29"/>
  <c r="G15" i="32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H13" i="32"/>
  <c r="H15" i="32"/>
  <c r="I13" i="32"/>
  <c r="I15" i="32"/>
  <c r="J13" i="32"/>
  <c r="J15" i="32"/>
  <c r="K13" i="32"/>
  <c r="K15" i="32"/>
  <c r="J22" i="32"/>
  <c r="J20" i="32"/>
  <c r="I20" i="32"/>
  <c r="I22" i="32"/>
  <c r="K22" i="32"/>
  <c r="K20" i="32"/>
  <c r="H22" i="32"/>
  <c r="H20" i="32"/>
  <c r="G22" i="32"/>
  <c r="G20" i="32"/>
  <c r="P42" i="29"/>
  <c r="P42" i="28"/>
  <c r="M119" i="12"/>
  <c r="L119" i="12"/>
  <c r="O119" i="12"/>
  <c r="N119" i="12"/>
  <c r="K119" i="12"/>
  <c r="P47" i="12"/>
  <c r="P46" i="12"/>
  <c r="Q46" i="12"/>
  <c r="P44" i="12"/>
  <c r="P244" i="12"/>
  <c r="N250" i="12"/>
  <c r="P5" i="12"/>
  <c r="M40" i="12"/>
  <c r="L40" i="12"/>
  <c r="N40" i="12"/>
  <c r="P260" i="28"/>
  <c r="P261" i="28"/>
  <c r="J5" i="32"/>
  <c r="J7" i="32"/>
  <c r="H7" i="32"/>
  <c r="H5" i="32"/>
  <c r="I5" i="32"/>
  <c r="I7" i="32"/>
  <c r="L13" i="32"/>
  <c r="L20" i="32"/>
  <c r="L240" i="12"/>
  <c r="L241" i="12"/>
  <c r="L242" i="12"/>
  <c r="M240" i="12"/>
  <c r="M241" i="12"/>
  <c r="M242" i="12"/>
  <c r="P252" i="12"/>
  <c r="P253" i="12"/>
  <c r="P239" i="12"/>
  <c r="N240" i="12"/>
  <c r="N241" i="12"/>
  <c r="N242" i="12"/>
  <c r="O120" i="12"/>
  <c r="N120" i="12"/>
  <c r="M120" i="12"/>
  <c r="L120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L15" i="32"/>
  <c r="L22" i="32"/>
  <c r="N41" i="12"/>
  <c r="M41" i="12"/>
  <c r="L41" i="12"/>
  <c r="E46" i="12"/>
  <c r="P119" i="12"/>
  <c r="K120" i="12"/>
  <c r="Q5" i="12"/>
  <c r="P120" i="12"/>
  <c r="Q84" i="12"/>
  <c r="Q85" i="12"/>
  <c r="Q86" i="12"/>
  <c r="Q87" i="12"/>
  <c r="Q88" i="12"/>
  <c r="Q89" i="12"/>
  <c r="I6" i="32"/>
  <c r="I8" i="32"/>
  <c r="H6" i="32"/>
  <c r="H8" i="32"/>
  <c r="J6" i="32"/>
  <c r="J8" i="3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K40" i="12"/>
  <c r="G7" i="32"/>
  <c r="G5" i="32"/>
  <c r="G6" i="32"/>
  <c r="K240" i="12"/>
  <c r="K241" i="12"/>
  <c r="K242" i="12"/>
  <c r="K41" i="12"/>
  <c r="G8" i="32"/>
  <c r="P6" i="12"/>
  <c r="P7" i="12"/>
  <c r="P42" i="12"/>
  <c r="O40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K7" i="32"/>
  <c r="L7" i="32"/>
  <c r="L35" i="32"/>
  <c r="L41" i="33"/>
  <c r="K5" i="32"/>
  <c r="L5" i="32"/>
  <c r="O240" i="12"/>
  <c r="O241" i="12"/>
  <c r="O242" i="12"/>
  <c r="P40" i="12"/>
  <c r="P245" i="12"/>
  <c r="N251" i="12"/>
  <c r="O41" i="12"/>
  <c r="K8" i="32"/>
  <c r="L8" i="32"/>
  <c r="P240" i="12"/>
  <c r="P241" i="12"/>
  <c r="P242" i="12"/>
  <c r="K6" i="32"/>
  <c r="L6" i="32"/>
  <c r="L33" i="32"/>
  <c r="L39" i="33"/>
  <c r="P41" i="12"/>
  <c r="O251" i="12"/>
  <c r="O252" i="12"/>
  <c r="O253" i="12"/>
  <c r="L40" i="33"/>
  <c r="L42" i="33"/>
  <c r="L34" i="32"/>
  <c r="L36" i="32"/>
  <c r="N252" i="12"/>
  <c r="N253" i="12"/>
  <c r="P246" i="12"/>
  <c r="P247" i="12"/>
</calcChain>
</file>

<file path=xl/sharedStrings.xml><?xml version="1.0" encoding="utf-8"?>
<sst xmlns="http://schemas.openxmlformats.org/spreadsheetml/2006/main" count="1462" uniqueCount="63">
  <si>
    <t>REMARKS</t>
  </si>
  <si>
    <t>M</t>
  </si>
  <si>
    <t>SILVER COMPOSITE TEXTILE MILLS LTD. (UNIT-01)</t>
  </si>
  <si>
    <t>Grand Total</t>
  </si>
  <si>
    <t>Cut No.</t>
  </si>
  <si>
    <t>Lay Qty</t>
  </si>
  <si>
    <t>No of Ratio</t>
  </si>
  <si>
    <t>Date</t>
  </si>
  <si>
    <t>Label</t>
  </si>
  <si>
    <t>Color</t>
  </si>
  <si>
    <t>Total</t>
  </si>
  <si>
    <t>Total:</t>
  </si>
  <si>
    <t>Excess Cut:</t>
  </si>
  <si>
    <t>Style</t>
  </si>
  <si>
    <t>P.O No.</t>
  </si>
  <si>
    <t>AGM (CUTTING)</t>
  </si>
  <si>
    <t>Size Wise Order Breakdown:</t>
  </si>
  <si>
    <t>Buyer</t>
  </si>
  <si>
    <t>QR. QTY</t>
  </si>
  <si>
    <t>CUT QTY</t>
  </si>
  <si>
    <t>EXCESS</t>
  </si>
  <si>
    <t>%</t>
  </si>
  <si>
    <t>P.O Total</t>
  </si>
  <si>
    <t>SHADE-A</t>
  </si>
  <si>
    <t>L</t>
  </si>
  <si>
    <t>XL</t>
  </si>
  <si>
    <t xml:space="preserve">CUTTING SUMMARY             </t>
  </si>
  <si>
    <t xml:space="preserve">SILVER COMPOSITE TEXTILE MILS LIMITETD. (UNIT-01)     </t>
  </si>
  <si>
    <t>XS</t>
  </si>
  <si>
    <t>S</t>
  </si>
  <si>
    <t>SHADE-A,C</t>
  </si>
  <si>
    <t>SHACKET-G074</t>
  </si>
  <si>
    <t>GREENSOURCE</t>
  </si>
  <si>
    <t>WILD ONE</t>
  </si>
  <si>
    <t>WANDER IKAT</t>
  </si>
  <si>
    <t>HEART PARADE</t>
  </si>
  <si>
    <t>ANTIQUE ROSE</t>
  </si>
  <si>
    <t>FW26</t>
  </si>
  <si>
    <t>Description</t>
  </si>
  <si>
    <t>ORDER QTY. TO  CUTTING BALANCE=</t>
  </si>
  <si>
    <t>INPUT QUANTITY.</t>
  </si>
  <si>
    <t>CUTTING TO INPUT BALANCE=</t>
  </si>
  <si>
    <t>BROWN</t>
  </si>
  <si>
    <t>BLUE</t>
  </si>
  <si>
    <t>CREAM</t>
  </si>
  <si>
    <t>PINK</t>
  </si>
  <si>
    <t>1ST</t>
  </si>
  <si>
    <t>2ND</t>
  </si>
  <si>
    <t>TOTAL</t>
  </si>
  <si>
    <t xml:space="preserve"> </t>
  </si>
  <si>
    <t>1ST  ORDER QUANTITY.</t>
  </si>
  <si>
    <t>1ST  CUTTING QUANTITY.</t>
  </si>
  <si>
    <t>1ST ORDER QUANTITY.</t>
  </si>
  <si>
    <t>1ST ORDER</t>
  </si>
  <si>
    <t>1ST ORDER CUTTING &amp; INPUT REPORT</t>
  </si>
  <si>
    <t>2ND  ORDER QUANTITY.</t>
  </si>
  <si>
    <t>2ND  CUTTING QUANTITY.</t>
  </si>
  <si>
    <t>2ND ORDER</t>
  </si>
  <si>
    <t>14220+22</t>
  </si>
  <si>
    <t>ORDER QUANTITY.</t>
  </si>
  <si>
    <t>CUTTING QUANTITY.</t>
  </si>
  <si>
    <t>INP -630</t>
  </si>
  <si>
    <t>3RD-RUNNING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</si>
</sst>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\+0;\-0;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22"/>
      <color rgb="FF7030A0"/>
      <name val="Arial Narrow"/>
      <family val="2"/>
    </font>
    <font>
      <b/>
      <sz val="14"/>
      <color indexed="8"/>
      <name val="Calibri"/>
      <family val="2"/>
    </font>
    <font>
      <b/>
      <u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Arial Narrow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3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8" fillId="0" borderId="0"/>
  </cellStyleXfs>
  <cellXfs count="17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center"/>
    </xf>
    <xf numFmtId="0" fontId="15" fillId="0" borderId="7" xfId="0" applyFont="1" applyBorder="1" applyAlignment="1">
      <alignment horizontal="right" vertical="center"/>
    </xf>
    <xf numFmtId="1" fontId="16" fillId="4" borderId="5" xfId="1" applyNumberFormat="1" applyFont="1" applyFill="1" applyBorder="1" applyAlignment="1" applyProtection="1">
      <alignment horizontal="center" vertical="center"/>
      <protection locked="0"/>
    </xf>
    <xf numFmtId="1" fontId="5" fillId="4" borderId="8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10" xfId="0" applyBorder="1"/>
    <xf numFmtId="0" fontId="5" fillId="0" borderId="15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5" fillId="0" borderId="14" xfId="0" applyFont="1" applyBorder="1" applyAlignment="1">
      <alignment horizontal="right" vertical="center"/>
    </xf>
    <xf numFmtId="0" fontId="8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4" xfId="0" applyFont="1" applyBorder="1"/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0" fontId="0" fillId="0" borderId="0" xfId="0" applyNumberFormat="1" applyAlignment="1">
      <alignment horizontal="center"/>
    </xf>
    <xf numFmtId="0" fontId="17" fillId="4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0" fontId="3" fillId="0" borderId="0" xfId="0" applyFont="1"/>
    <xf numFmtId="0" fontId="19" fillId="0" borderId="4" xfId="0" applyFont="1" applyBorder="1"/>
    <xf numFmtId="0" fontId="4" fillId="2" borderId="23" xfId="0" applyFont="1" applyFill="1" applyBorder="1" applyAlignment="1">
      <alignment horizontal="left"/>
    </xf>
    <xf numFmtId="0" fontId="4" fillId="0" borderId="0" xfId="0" applyFont="1"/>
    <xf numFmtId="0" fontId="3" fillId="3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0" xfId="0" applyFont="1" applyBorder="1"/>
    <xf numFmtId="0" fontId="3" fillId="3" borderId="1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21" fillId="0" borderId="7" xfId="0" applyFont="1" applyBorder="1" applyAlignment="1">
      <alignment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center"/>
    </xf>
    <xf numFmtId="0" fontId="4" fillId="0" borderId="25" xfId="0" applyFont="1" applyBorder="1"/>
    <xf numFmtId="0" fontId="4" fillId="0" borderId="25" xfId="0" applyFont="1" applyBorder="1" applyAlignment="1">
      <alignment horizontal="left"/>
    </xf>
    <xf numFmtId="0" fontId="4" fillId="0" borderId="11" xfId="0" applyFont="1" applyBorder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right" vertical="center"/>
    </xf>
    <xf numFmtId="10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1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" fontId="2" fillId="0" borderId="0" xfId="0" applyNumberFormat="1" applyFont="1" applyAlignment="1">
      <alignment horizontal="center" vertical="center"/>
    </xf>
    <xf numFmtId="164" fontId="23" fillId="4" borderId="1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9" fillId="0" borderId="4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3" fillId="3" borderId="15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4" fontId="22" fillId="2" borderId="2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0" fontId="25" fillId="0" borderId="6" xfId="0" applyFont="1" applyBorder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center" vertical="center" wrapText="1"/>
    </xf>
    <xf numFmtId="0" fontId="27" fillId="3" borderId="27" xfId="0" applyFont="1" applyFill="1" applyBorder="1" applyAlignment="1">
      <alignment horizontal="center" vertical="center" wrapText="1"/>
    </xf>
    <xf numFmtId="0" fontId="27" fillId="3" borderId="25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6" borderId="33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164" fontId="12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left"/>
    </xf>
    <xf numFmtId="165" fontId="29" fillId="5" borderId="1" xfId="0" applyNumberFormat="1" applyFont="1" applyFill="1" applyBorder="1" applyAlignment="1">
      <alignment horizontal="center" vertical="center"/>
    </xf>
    <xf numFmtId="165" fontId="29" fillId="6" borderId="3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22" fillId="0" borderId="0" xfId="0" applyFont="1"/>
    <xf numFmtId="0" fontId="30" fillId="0" borderId="4" xfId="0" applyFont="1" applyBorder="1"/>
    <xf numFmtId="0" fontId="22" fillId="0" borderId="7" xfId="0" applyFont="1" applyBorder="1" applyAlignment="1">
      <alignment vertical="center"/>
    </xf>
    <xf numFmtId="0" fontId="22" fillId="3" borderId="13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31" fillId="0" borderId="25" xfId="0" applyFont="1" applyBorder="1"/>
    <xf numFmtId="0" fontId="31" fillId="0" borderId="11" xfId="0" applyFont="1" applyBorder="1"/>
    <xf numFmtId="0" fontId="31" fillId="0" borderId="0" xfId="0" applyFont="1"/>
    <xf numFmtId="0" fontId="22" fillId="0" borderId="0" xfId="0" applyFont="1" applyAlignment="1">
      <alignment horizontal="centerContinuous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" fontId="0" fillId="0" borderId="25" xfId="0" applyNumberFormat="1" applyBorder="1" applyAlignment="1">
      <alignment horizontal="center" vertical="center"/>
    </xf>
    <xf numFmtId="0" fontId="0" fillId="0" borderId="0" xfId="0" applyAlignment="1">
      <alignment horizontal="right" vertical="center" indent="1"/>
    </xf>
    <xf numFmtId="14" fontId="0" fillId="0" borderId="0" xfId="0" applyNumberFormat="1" applyAlignment="1">
      <alignment horizontal="right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0" fillId="0" borderId="0" xfId="0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64" fontId="12" fillId="6" borderId="2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/>
    </xf>
    <xf numFmtId="14" fontId="3" fillId="0" borderId="4" xfId="0" applyNumberFormat="1" applyFont="1" applyBorder="1" applyAlignment="1">
      <alignment horizontal="left" vertical="center"/>
    </xf>
    <xf numFmtId="0" fontId="28" fillId="0" borderId="30" xfId="0" applyFont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3">
    <cellStyle name="Normal" xfId="0" builtinId="0"/>
    <cellStyle name="Normal 11" xfId="2" xr:uid="{00000000-0005-0000-0000-000001000000}"/>
    <cellStyle name="Normal 2" xfId="1" xr:uid="{00000000-0005-0000-0000-000002000000}"/>
  </cellStyles>
  <dxfs count="32"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  <dxf>
      <font>
        <b/>
        <i val="0"/>
        <color rgb="FF002060"/>
      </font>
      <fill>
        <gradientFill degree="90">
          <stop position="0">
            <color theme="0"/>
          </stop>
          <stop position="1">
            <color rgb="FF91FDCA"/>
          </stop>
        </gradientFill>
      </fill>
    </dxf>
    <dxf>
      <font>
        <color rgb="FFFF0000"/>
      </font>
    </dxf>
  </dxfs>
  <tableStyles count="0" defaultTableStyle="TableStyleMedium2" defaultPivotStyle="PivotStyleLight16"/>
  <colors>
    <mruColors>
      <color rgb="FF91FDCA"/>
      <color rgb="FF63C6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B93A-121E-4DCC-97B2-D749A7ADD875}">
  <dimension ref="B1:M36"/>
  <sheetViews>
    <sheetView tabSelected="1" view="pageBreakPreview" topLeftCell="B1" zoomScale="95" zoomScaleNormal="93" zoomScaleSheetLayoutView="95" workbookViewId="0">
      <selection activeCell="I34" sqref="I34"/>
    </sheetView>
  </sheetViews>
  <sheetFormatPr defaultColWidth="9.14453125" defaultRowHeight="15" x14ac:dyDescent="0.2"/>
  <cols>
    <col min="1" max="1" width="3.2265625" style="3" customWidth="1"/>
    <col min="2" max="2" width="13.85546875" style="3" customWidth="1"/>
    <col min="3" max="3" width="14.390625" style="3" customWidth="1"/>
    <col min="4" max="4" width="11.1640625" style="3" customWidth="1"/>
    <col min="5" max="5" width="15.19921875" style="3" customWidth="1"/>
    <col min="6" max="6" width="33.359375" style="3" customWidth="1"/>
    <col min="7" max="11" width="7.93359375" style="3" customWidth="1"/>
    <col min="12" max="12" width="11.8359375" style="3" customWidth="1"/>
    <col min="13" max="13" width="12.375" style="3" customWidth="1"/>
    <col min="14" max="14" width="2.5546875" style="3" customWidth="1"/>
    <col min="15" max="16384" width="9.14453125" style="3"/>
  </cols>
  <sheetData>
    <row r="1" spans="2:13" ht="18.75" customHeight="1" x14ac:dyDescent="0.2">
      <c r="B1" s="170" t="s">
        <v>53</v>
      </c>
      <c r="C1" s="170"/>
      <c r="F1" s="93" t="s">
        <v>2</v>
      </c>
    </row>
    <row r="2" spans="2:13" ht="13.5" customHeight="1" thickBot="1" x14ac:dyDescent="0.25">
      <c r="B2" s="171"/>
      <c r="C2" s="171"/>
      <c r="E2" s="172" t="s">
        <v>54</v>
      </c>
      <c r="F2" s="172"/>
      <c r="G2" s="172"/>
      <c r="H2" s="172"/>
      <c r="L2" s="166">
        <v>46190</v>
      </c>
    </row>
    <row r="3" spans="2:13" ht="20.25" customHeight="1" thickBot="1" x14ac:dyDescent="0.25">
      <c r="B3" s="94" t="s">
        <v>17</v>
      </c>
      <c r="C3" s="95" t="s">
        <v>13</v>
      </c>
      <c r="D3" s="95" t="s">
        <v>14</v>
      </c>
      <c r="E3" s="95" t="s">
        <v>9</v>
      </c>
      <c r="F3" s="96" t="s">
        <v>38</v>
      </c>
      <c r="G3" s="97" t="s">
        <v>28</v>
      </c>
      <c r="H3" s="97" t="s">
        <v>29</v>
      </c>
      <c r="I3" s="97" t="s">
        <v>1</v>
      </c>
      <c r="J3" s="98" t="s">
        <v>24</v>
      </c>
      <c r="K3" s="98" t="s">
        <v>25</v>
      </c>
      <c r="L3" s="99" t="s">
        <v>10</v>
      </c>
      <c r="M3" s="99" t="s">
        <v>0</v>
      </c>
    </row>
    <row r="4" spans="2:13" ht="18" customHeight="1" x14ac:dyDescent="0.2">
      <c r="B4" s="100" t="s">
        <v>32</v>
      </c>
      <c r="C4" s="101" t="s">
        <v>31</v>
      </c>
      <c r="D4" s="101" t="s">
        <v>58</v>
      </c>
      <c r="E4" s="101" t="s">
        <v>33</v>
      </c>
      <c r="F4" s="101" t="s">
        <v>50</v>
      </c>
      <c r="G4" s="102">
        <f>'WILD ONE'!K3+'WILD ONE'!K44</f>
        <v>4134</v>
      </c>
      <c r="H4" s="102">
        <f>'WILD ONE'!L3+'WILD ONE'!L44</f>
        <v>4134</v>
      </c>
      <c r="I4" s="102">
        <f>'WILD ONE'!M3+'WILD ONE'!M44</f>
        <v>6201</v>
      </c>
      <c r="J4" s="102">
        <f>'WILD ONE'!N3+'WILD ONE'!N44</f>
        <v>6201</v>
      </c>
      <c r="K4" s="102">
        <f>'WILD ONE'!O3+'WILD ONE'!O44</f>
        <v>4134</v>
      </c>
      <c r="L4" s="147">
        <f>SUM(G4:K4)</f>
        <v>24804</v>
      </c>
      <c r="M4" s="167"/>
    </row>
    <row r="5" spans="2:13" ht="18" customHeight="1" x14ac:dyDescent="0.2">
      <c r="B5" s="103"/>
      <c r="C5" s="104"/>
      <c r="D5" s="105"/>
      <c r="E5" s="105"/>
      <c r="F5" s="106" t="s">
        <v>51</v>
      </c>
      <c r="G5" s="105">
        <f>'WILD ONE'!K40+'WILD ONE'!K119</f>
        <v>4176</v>
      </c>
      <c r="H5" s="105">
        <f>'WILD ONE'!L40+'WILD ONE'!L119</f>
        <v>4176</v>
      </c>
      <c r="I5" s="105">
        <f>'WILD ONE'!M40+'WILD ONE'!M119</f>
        <v>6264</v>
      </c>
      <c r="J5" s="105">
        <f>'WILD ONE'!N40+'WILD ONE'!N119</f>
        <v>6264</v>
      </c>
      <c r="K5" s="105">
        <f>'WILD ONE'!O40+'WILD ONE'!O119</f>
        <v>4176</v>
      </c>
      <c r="L5" s="107">
        <f>SUM(G5:K5)</f>
        <v>25056</v>
      </c>
      <c r="M5" s="168"/>
    </row>
    <row r="6" spans="2:13" ht="18" customHeight="1" x14ac:dyDescent="0.2">
      <c r="B6" s="108"/>
      <c r="C6" s="109"/>
      <c r="D6" s="109"/>
      <c r="E6" s="109"/>
      <c r="F6" s="110" t="s">
        <v>39</v>
      </c>
      <c r="G6" s="122">
        <f>G5-G4</f>
        <v>42</v>
      </c>
      <c r="H6" s="122">
        <f t="shared" ref="H6" si="0">H5-H4</f>
        <v>42</v>
      </c>
      <c r="I6" s="122">
        <f t="shared" ref="I6" si="1">I5-I4</f>
        <v>63</v>
      </c>
      <c r="J6" s="122">
        <f t="shared" ref="J6" si="2">J5-J4</f>
        <v>63</v>
      </c>
      <c r="K6" s="122">
        <f t="shared" ref="K6" si="3">K5-K4</f>
        <v>42</v>
      </c>
      <c r="L6" s="122">
        <f>SUM(G6:K6)</f>
        <v>252</v>
      </c>
      <c r="M6" s="168"/>
    </row>
    <row r="7" spans="2:13" ht="18" customHeight="1" x14ac:dyDescent="0.2">
      <c r="B7" s="103"/>
      <c r="C7" s="105"/>
      <c r="D7" s="105"/>
      <c r="E7" s="105"/>
      <c r="F7" s="105" t="s">
        <v>40</v>
      </c>
      <c r="G7" s="107">
        <f>'WILD ONE'!K40+'WILD ONE'!K119</f>
        <v>4176</v>
      </c>
      <c r="H7" s="107">
        <f>'WILD ONE'!L40+'WILD ONE'!L119</f>
        <v>4176</v>
      </c>
      <c r="I7" s="107">
        <f>'WILD ONE'!M40+'WILD ONE'!M119</f>
        <v>6264</v>
      </c>
      <c r="J7" s="107">
        <f>'WILD ONE'!N40+'WILD ONE'!N119</f>
        <v>6264</v>
      </c>
      <c r="K7" s="107">
        <f>'WILD ONE'!O40+'WILD ONE'!O119</f>
        <v>4176</v>
      </c>
      <c r="L7" s="105">
        <f>SUM(G7:K7)</f>
        <v>25056</v>
      </c>
      <c r="M7" s="168"/>
    </row>
    <row r="8" spans="2:13" s="70" customFormat="1" ht="18" customHeight="1" thickBot="1" x14ac:dyDescent="0.25">
      <c r="B8" s="111"/>
      <c r="C8" s="112"/>
      <c r="D8" s="112"/>
      <c r="E8" s="112"/>
      <c r="F8" s="113" t="s">
        <v>41</v>
      </c>
      <c r="G8" s="123">
        <f>G7-G5</f>
        <v>0</v>
      </c>
      <c r="H8" s="123">
        <f t="shared" ref="H8:K8" si="4">H7-H5</f>
        <v>0</v>
      </c>
      <c r="I8" s="123">
        <f t="shared" si="4"/>
        <v>0</v>
      </c>
      <c r="J8" s="123">
        <f t="shared" si="4"/>
        <v>0</v>
      </c>
      <c r="K8" s="123">
        <f t="shared" si="4"/>
        <v>0</v>
      </c>
      <c r="L8" s="123">
        <f>SUM(G8:K8)</f>
        <v>0</v>
      </c>
      <c r="M8" s="169"/>
    </row>
    <row r="9" spans="2:13" ht="11.25" customHeight="1" thickBot="1" x14ac:dyDescent="0.25"/>
    <row r="10" spans="2:13" ht="20.25" customHeight="1" thickBot="1" x14ac:dyDescent="0.25">
      <c r="B10" s="44" t="s">
        <v>17</v>
      </c>
      <c r="C10" s="50" t="s">
        <v>13</v>
      </c>
      <c r="D10" s="50" t="s">
        <v>14</v>
      </c>
      <c r="E10" s="50" t="s">
        <v>9</v>
      </c>
      <c r="F10" s="96" t="s">
        <v>38</v>
      </c>
      <c r="G10" s="14" t="s">
        <v>28</v>
      </c>
      <c r="H10" s="14" t="s">
        <v>29</v>
      </c>
      <c r="I10" s="14" t="s">
        <v>1</v>
      </c>
      <c r="J10" s="10" t="s">
        <v>24</v>
      </c>
      <c r="K10" s="10" t="s">
        <v>25</v>
      </c>
      <c r="L10" s="12" t="s">
        <v>10</v>
      </c>
      <c r="M10" s="12" t="s">
        <v>0</v>
      </c>
    </row>
    <row r="11" spans="2:13" ht="18" customHeight="1" x14ac:dyDescent="0.2">
      <c r="B11" s="103" t="s">
        <v>32</v>
      </c>
      <c r="C11" s="105" t="s">
        <v>31</v>
      </c>
      <c r="D11" s="101" t="s">
        <v>58</v>
      </c>
      <c r="E11" s="105" t="s">
        <v>34</v>
      </c>
      <c r="F11" s="101" t="s">
        <v>50</v>
      </c>
      <c r="G11" s="107">
        <f>'WANDER IKAT'!K3+'WANDER IKAT'!K45</f>
        <v>4134</v>
      </c>
      <c r="H11" s="107">
        <f>'WANDER IKAT'!L3+'WANDER IKAT'!L45</f>
        <v>4134</v>
      </c>
      <c r="I11" s="107">
        <f>'WANDER IKAT'!M3+'WANDER IKAT'!M45</f>
        <v>4134</v>
      </c>
      <c r="J11" s="107">
        <f>'WANDER IKAT'!N3+'WANDER IKAT'!N45</f>
        <v>6201</v>
      </c>
      <c r="K11" s="107">
        <f>'WANDER IKAT'!O3+'WANDER IKAT'!O45</f>
        <v>4134</v>
      </c>
      <c r="L11" s="147">
        <f>SUM(G11:K11)</f>
        <v>22737</v>
      </c>
      <c r="M11" s="167"/>
    </row>
    <row r="12" spans="2:13" ht="18" customHeight="1" x14ac:dyDescent="0.2">
      <c r="B12" s="103"/>
      <c r="C12" s="105"/>
      <c r="D12" s="105"/>
      <c r="E12" s="105"/>
      <c r="F12" s="106" t="s">
        <v>51</v>
      </c>
      <c r="G12" s="105">
        <f>'WANDER IKAT'!K41+'WANDER IKAT'!K116</f>
        <v>4012</v>
      </c>
      <c r="H12" s="105">
        <f>'WANDER IKAT'!L41+'WANDER IKAT'!L116</f>
        <v>4012</v>
      </c>
      <c r="I12" s="105">
        <f>'WANDER IKAT'!M41+'WANDER IKAT'!M116</f>
        <v>4012</v>
      </c>
      <c r="J12" s="105">
        <f>'WANDER IKAT'!N41+'WANDER IKAT'!N116</f>
        <v>6018</v>
      </c>
      <c r="K12" s="105">
        <f>'WANDER IKAT'!O41+'WANDER IKAT'!O116</f>
        <v>4012</v>
      </c>
      <c r="L12" s="107">
        <f>SUM(G12:K12)</f>
        <v>22066</v>
      </c>
      <c r="M12" s="168"/>
    </row>
    <row r="13" spans="2:13" ht="18" customHeight="1" x14ac:dyDescent="0.2">
      <c r="B13" s="103"/>
      <c r="C13" s="105"/>
      <c r="D13" s="105"/>
      <c r="E13" s="105"/>
      <c r="F13" s="110" t="s">
        <v>39</v>
      </c>
      <c r="G13" s="122">
        <f>G12-G11</f>
        <v>-122</v>
      </c>
      <c r="H13" s="122">
        <f t="shared" ref="H13:K13" si="5">H12-H11</f>
        <v>-122</v>
      </c>
      <c r="I13" s="122">
        <f t="shared" si="5"/>
        <v>-122</v>
      </c>
      <c r="J13" s="122">
        <f t="shared" si="5"/>
        <v>-183</v>
      </c>
      <c r="K13" s="122">
        <f t="shared" si="5"/>
        <v>-122</v>
      </c>
      <c r="L13" s="122">
        <f>SUM(G13:K13)</f>
        <v>-671</v>
      </c>
      <c r="M13" s="168"/>
    </row>
    <row r="14" spans="2:13" ht="18" customHeight="1" x14ac:dyDescent="0.2">
      <c r="B14" s="103"/>
      <c r="C14" s="105"/>
      <c r="D14" s="105"/>
      <c r="E14" s="105"/>
      <c r="F14" s="105" t="s">
        <v>40</v>
      </c>
      <c r="G14" s="105">
        <f>'WANDER IKAT'!K41+'WANDER IKAT'!K116</f>
        <v>4012</v>
      </c>
      <c r="H14" s="105">
        <f>'WANDER IKAT'!L41+'WANDER IKAT'!L116</f>
        <v>4012</v>
      </c>
      <c r="I14" s="105">
        <f>'WANDER IKAT'!M41+'WANDER IKAT'!M116</f>
        <v>4012</v>
      </c>
      <c r="J14" s="105">
        <f>'WANDER IKAT'!N41+'WANDER IKAT'!N116</f>
        <v>6018</v>
      </c>
      <c r="K14" s="105">
        <f>'WANDER IKAT'!O41+'WANDER IKAT'!O116</f>
        <v>4012</v>
      </c>
      <c r="L14" s="105">
        <f>SUM(G14:K14)</f>
        <v>22066</v>
      </c>
      <c r="M14" s="168"/>
    </row>
    <row r="15" spans="2:13" ht="18" customHeight="1" thickBot="1" x14ac:dyDescent="0.25">
      <c r="B15" s="114"/>
      <c r="C15" s="115"/>
      <c r="D15" s="115"/>
      <c r="E15" s="115"/>
      <c r="F15" s="113" t="s">
        <v>41</v>
      </c>
      <c r="G15" s="123">
        <f>G14-G12</f>
        <v>0</v>
      </c>
      <c r="H15" s="123">
        <f t="shared" ref="H15" si="6">H14-H12</f>
        <v>0</v>
      </c>
      <c r="I15" s="123">
        <f t="shared" ref="I15" si="7">I14-I12</f>
        <v>0</v>
      </c>
      <c r="J15" s="123">
        <f t="shared" ref="J15" si="8">J14-J12</f>
        <v>0</v>
      </c>
      <c r="K15" s="123">
        <f t="shared" ref="K15" si="9">K14-K12</f>
        <v>0</v>
      </c>
      <c r="L15" s="123">
        <f>SUM(G15:K15)</f>
        <v>0</v>
      </c>
      <c r="M15" s="169"/>
    </row>
    <row r="16" spans="2:13" ht="11.25" customHeight="1" thickBot="1" x14ac:dyDescent="0.25"/>
    <row r="17" spans="2:13" ht="20.25" customHeight="1" thickBot="1" x14ac:dyDescent="0.25">
      <c r="B17" s="44" t="s">
        <v>17</v>
      </c>
      <c r="C17" s="50" t="s">
        <v>13</v>
      </c>
      <c r="D17" s="50" t="s">
        <v>14</v>
      </c>
      <c r="E17" s="50" t="s">
        <v>9</v>
      </c>
      <c r="F17" s="96" t="s">
        <v>38</v>
      </c>
      <c r="G17" s="14" t="s">
        <v>28</v>
      </c>
      <c r="H17" s="14" t="s">
        <v>29</v>
      </c>
      <c r="I17" s="14" t="s">
        <v>1</v>
      </c>
      <c r="J17" s="10" t="s">
        <v>24</v>
      </c>
      <c r="K17" s="10" t="s">
        <v>25</v>
      </c>
      <c r="L17" s="12" t="s">
        <v>10</v>
      </c>
      <c r="M17" s="12" t="s">
        <v>0</v>
      </c>
    </row>
    <row r="18" spans="2:13" ht="18" customHeight="1" x14ac:dyDescent="0.2">
      <c r="B18" s="103" t="s">
        <v>32</v>
      </c>
      <c r="C18" s="105" t="s">
        <v>31</v>
      </c>
      <c r="D18" s="101" t="s">
        <v>58</v>
      </c>
      <c r="E18" s="105" t="s">
        <v>35</v>
      </c>
      <c r="F18" s="101" t="s">
        <v>50</v>
      </c>
      <c r="G18" s="107">
        <f>'HEART PARADE'!K3+'HEART PARADE'!K45</f>
        <v>6201</v>
      </c>
      <c r="H18" s="107">
        <f>'HEART PARADE'!L3+'HEART PARADE'!L45</f>
        <v>4134</v>
      </c>
      <c r="I18" s="107">
        <f>'HEART PARADE'!M3+'HEART PARADE'!M45</f>
        <v>4134</v>
      </c>
      <c r="J18" s="107">
        <f>'HEART PARADE'!N3+'HEART PARADE'!N45</f>
        <v>4134</v>
      </c>
      <c r="K18" s="107">
        <f>'HEART PARADE'!O3+'HEART PARADE'!O45</f>
        <v>4134</v>
      </c>
      <c r="L18" s="147">
        <f>SUM(G18:K18)</f>
        <v>22737</v>
      </c>
      <c r="M18" s="167"/>
    </row>
    <row r="19" spans="2:13" ht="18" customHeight="1" x14ac:dyDescent="0.2">
      <c r="B19" s="103"/>
      <c r="C19" s="105"/>
      <c r="D19" s="105"/>
      <c r="E19" s="105"/>
      <c r="F19" s="106" t="s">
        <v>51</v>
      </c>
      <c r="G19" s="105">
        <f>'HEART PARADE'!K41+'HEART PARADE'!K108</f>
        <v>5907</v>
      </c>
      <c r="H19" s="105">
        <f>'HEART PARADE'!L41+'HEART PARADE'!L108</f>
        <v>3938</v>
      </c>
      <c r="I19" s="105">
        <f>'HEART PARADE'!M41+'HEART PARADE'!M108</f>
        <v>3938</v>
      </c>
      <c r="J19" s="105">
        <f>'HEART PARADE'!N41+'HEART PARADE'!N108</f>
        <v>3938</v>
      </c>
      <c r="K19" s="105">
        <f>'HEART PARADE'!O41+'HEART PARADE'!O108</f>
        <v>3938</v>
      </c>
      <c r="L19" s="107">
        <f>SUM(G19:K19)</f>
        <v>21659</v>
      </c>
      <c r="M19" s="168"/>
    </row>
    <row r="20" spans="2:13" ht="18" customHeight="1" x14ac:dyDescent="0.2">
      <c r="B20" s="103"/>
      <c r="C20" s="105"/>
      <c r="D20" s="105"/>
      <c r="E20" s="105"/>
      <c r="F20" s="110" t="s">
        <v>39</v>
      </c>
      <c r="G20" s="122">
        <f>G19-G18</f>
        <v>-294</v>
      </c>
      <c r="H20" s="122">
        <f t="shared" ref="H20" si="10">H19-H18</f>
        <v>-196</v>
      </c>
      <c r="I20" s="122">
        <f t="shared" ref="I20" si="11">I19-I18</f>
        <v>-196</v>
      </c>
      <c r="J20" s="122">
        <f t="shared" ref="J20" si="12">J19-J18</f>
        <v>-196</v>
      </c>
      <c r="K20" s="122">
        <f t="shared" ref="K20" si="13">K19-K18</f>
        <v>-196</v>
      </c>
      <c r="L20" s="122">
        <f>SUM(G20:K20)</f>
        <v>-1078</v>
      </c>
      <c r="M20" s="168"/>
    </row>
    <row r="21" spans="2:13" ht="18" customHeight="1" x14ac:dyDescent="0.2">
      <c r="B21" s="103"/>
      <c r="C21" s="105"/>
      <c r="D21" s="105"/>
      <c r="E21" s="105"/>
      <c r="F21" s="105" t="s">
        <v>40</v>
      </c>
      <c r="G21" s="105">
        <f>'HEART PARADE'!K41+'HEART PARADE'!K108</f>
        <v>5907</v>
      </c>
      <c r="H21" s="105">
        <f>'HEART PARADE'!L41+'HEART PARADE'!L108</f>
        <v>3938</v>
      </c>
      <c r="I21" s="105">
        <f>'HEART PARADE'!M41+'HEART PARADE'!M108</f>
        <v>3938</v>
      </c>
      <c r="J21" s="105">
        <f>'HEART PARADE'!N41+'HEART PARADE'!N108</f>
        <v>3938</v>
      </c>
      <c r="K21" s="105">
        <f>'HEART PARADE'!O41+'HEART PARADE'!O108</f>
        <v>3938</v>
      </c>
      <c r="L21" s="105">
        <f>SUM(G21:K21)</f>
        <v>21659</v>
      </c>
      <c r="M21" s="168"/>
    </row>
    <row r="22" spans="2:13" ht="18" customHeight="1" thickBot="1" x14ac:dyDescent="0.25">
      <c r="B22" s="114"/>
      <c r="C22" s="115"/>
      <c r="D22" s="115"/>
      <c r="E22" s="115"/>
      <c r="F22" s="113" t="s">
        <v>41</v>
      </c>
      <c r="G22" s="123">
        <f>G21-G19</f>
        <v>0</v>
      </c>
      <c r="H22" s="123">
        <f t="shared" ref="H22" si="14">H21-H19</f>
        <v>0</v>
      </c>
      <c r="I22" s="123">
        <f t="shared" ref="I22" si="15">I21-I19</f>
        <v>0</v>
      </c>
      <c r="J22" s="123">
        <f t="shared" ref="J22" si="16">J21-J19</f>
        <v>0</v>
      </c>
      <c r="K22" s="123">
        <f t="shared" ref="K22" si="17">K21-K19</f>
        <v>0</v>
      </c>
      <c r="L22" s="123">
        <f>SUM(G22:K22)</f>
        <v>0</v>
      </c>
      <c r="M22" s="169"/>
    </row>
    <row r="23" spans="2:13" ht="11.25" customHeight="1" thickBot="1" x14ac:dyDescent="0.25"/>
    <row r="24" spans="2:13" ht="19.5" customHeight="1" thickBot="1" x14ac:dyDescent="0.25">
      <c r="B24" s="44" t="s">
        <v>17</v>
      </c>
      <c r="C24" s="50" t="s">
        <v>13</v>
      </c>
      <c r="D24" s="50" t="s">
        <v>14</v>
      </c>
      <c r="E24" s="50" t="s">
        <v>9</v>
      </c>
      <c r="F24" s="96" t="s">
        <v>38</v>
      </c>
      <c r="G24" s="14" t="s">
        <v>28</v>
      </c>
      <c r="H24" s="14" t="s">
        <v>29</v>
      </c>
      <c r="I24" s="14" t="s">
        <v>1</v>
      </c>
      <c r="J24" s="10" t="s">
        <v>24</v>
      </c>
      <c r="K24" s="10" t="s">
        <v>25</v>
      </c>
      <c r="L24" s="12" t="s">
        <v>10</v>
      </c>
      <c r="M24" s="12" t="s">
        <v>0</v>
      </c>
    </row>
    <row r="25" spans="2:13" ht="18" customHeight="1" x14ac:dyDescent="0.2">
      <c r="B25" s="100" t="s">
        <v>32</v>
      </c>
      <c r="C25" s="101" t="s">
        <v>31</v>
      </c>
      <c r="D25" s="101" t="s">
        <v>58</v>
      </c>
      <c r="E25" s="101" t="s">
        <v>36</v>
      </c>
      <c r="F25" s="101" t="s">
        <v>50</v>
      </c>
      <c r="G25" s="102">
        <f>'ANTIQUE ROSE'!K3+'ANTIQUE ROSE'!K38</f>
        <v>4134</v>
      </c>
      <c r="H25" s="102">
        <f>'ANTIQUE ROSE'!L3+'ANTIQUE ROSE'!L38</f>
        <v>2067</v>
      </c>
      <c r="I25" s="102">
        <f>'ANTIQUE ROSE'!M3+'ANTIQUE ROSE'!M38</f>
        <v>6201</v>
      </c>
      <c r="J25" s="102">
        <f>'ANTIQUE ROSE'!N3+'ANTIQUE ROSE'!N38</f>
        <v>6201</v>
      </c>
      <c r="K25" s="102">
        <f>'ANTIQUE ROSE'!O3+'ANTIQUE ROSE'!O38</f>
        <v>6201</v>
      </c>
      <c r="L25" s="147">
        <f>SUM(G25:K25)</f>
        <v>24804</v>
      </c>
      <c r="M25" s="167"/>
    </row>
    <row r="26" spans="2:13" ht="18" customHeight="1" x14ac:dyDescent="0.2">
      <c r="B26" s="103"/>
      <c r="C26" s="105"/>
      <c r="D26" s="105"/>
      <c r="E26" s="105"/>
      <c r="F26" s="106" t="s">
        <v>51</v>
      </c>
      <c r="G26" s="105">
        <f>'ANTIQUE ROSE'!K34+'ANTIQUE ROSE'!K94</f>
        <v>3914</v>
      </c>
      <c r="H26" s="105">
        <f>'ANTIQUE ROSE'!L34+'ANTIQUE ROSE'!L94</f>
        <v>1957</v>
      </c>
      <c r="I26" s="105">
        <f>'ANTIQUE ROSE'!M34+'ANTIQUE ROSE'!M94</f>
        <v>5871</v>
      </c>
      <c r="J26" s="105">
        <f>'ANTIQUE ROSE'!N34+'ANTIQUE ROSE'!N94</f>
        <v>5871</v>
      </c>
      <c r="K26" s="105">
        <f>'ANTIQUE ROSE'!O34+'ANTIQUE ROSE'!O94</f>
        <v>5871</v>
      </c>
      <c r="L26" s="107">
        <f>SUM(G26:K26)</f>
        <v>23484</v>
      </c>
      <c r="M26" s="168"/>
    </row>
    <row r="27" spans="2:13" ht="18" customHeight="1" x14ac:dyDescent="0.2">
      <c r="B27" s="103"/>
      <c r="C27" s="105"/>
      <c r="D27" s="105"/>
      <c r="E27" s="105"/>
      <c r="F27" s="110" t="s">
        <v>39</v>
      </c>
      <c r="G27" s="122">
        <f>G26-G25</f>
        <v>-220</v>
      </c>
      <c r="H27" s="122">
        <f t="shared" ref="H27" si="18">H26-H25</f>
        <v>-110</v>
      </c>
      <c r="I27" s="122">
        <f t="shared" ref="I27" si="19">I26-I25</f>
        <v>-330</v>
      </c>
      <c r="J27" s="122">
        <f t="shared" ref="J27" si="20">J26-J25</f>
        <v>-330</v>
      </c>
      <c r="K27" s="122">
        <f t="shared" ref="K27" si="21">K26-K25</f>
        <v>-330</v>
      </c>
      <c r="L27" s="122">
        <f>SUM(G27:K27)</f>
        <v>-1320</v>
      </c>
      <c r="M27" s="168"/>
    </row>
    <row r="28" spans="2:13" ht="18" customHeight="1" x14ac:dyDescent="0.2">
      <c r="B28" s="103"/>
      <c r="C28" s="105"/>
      <c r="D28" s="105"/>
      <c r="E28" s="105"/>
      <c r="F28" s="105" t="s">
        <v>40</v>
      </c>
      <c r="G28" s="105">
        <f>'ANTIQUE ROSE'!K34+'ANTIQUE ROSE'!K94</f>
        <v>3914</v>
      </c>
      <c r="H28" s="105">
        <f>'ANTIQUE ROSE'!L34+'ANTIQUE ROSE'!L94</f>
        <v>1957</v>
      </c>
      <c r="I28" s="105">
        <f>'ANTIQUE ROSE'!M34+'ANTIQUE ROSE'!M94</f>
        <v>5871</v>
      </c>
      <c r="J28" s="105">
        <f>'ANTIQUE ROSE'!N34+'ANTIQUE ROSE'!N94</f>
        <v>5871</v>
      </c>
      <c r="K28" s="105">
        <f>'ANTIQUE ROSE'!O34+'ANTIQUE ROSE'!O94</f>
        <v>5871</v>
      </c>
      <c r="L28" s="105">
        <f>SUM(G28:K28)</f>
        <v>23484</v>
      </c>
      <c r="M28" s="168"/>
    </row>
    <row r="29" spans="2:13" ht="18" customHeight="1" thickBot="1" x14ac:dyDescent="0.25">
      <c r="B29" s="114"/>
      <c r="C29" s="115"/>
      <c r="D29" s="115"/>
      <c r="E29" s="115"/>
      <c r="F29" s="113" t="s">
        <v>41</v>
      </c>
      <c r="G29" s="123">
        <f>G28-G26</f>
        <v>0</v>
      </c>
      <c r="H29" s="123">
        <f t="shared" ref="H29" si="22">H28-H26</f>
        <v>0</v>
      </c>
      <c r="I29" s="123">
        <f t="shared" ref="I29" si="23">I28-I26</f>
        <v>0</v>
      </c>
      <c r="J29" s="123">
        <f t="shared" ref="J29" si="24">J28-J26</f>
        <v>0</v>
      </c>
      <c r="K29" s="123">
        <f t="shared" ref="K29" si="25">K28-K26</f>
        <v>0</v>
      </c>
      <c r="L29" s="123">
        <f>SUM(G29:K29)</f>
        <v>0</v>
      </c>
      <c r="M29" s="169"/>
    </row>
    <row r="30" spans="2:13" ht="11.25" customHeight="1" x14ac:dyDescent="0.2"/>
    <row r="31" spans="2:13" ht="12" customHeight="1" x14ac:dyDescent="0.2"/>
    <row r="32" spans="2:13" ht="14.25" customHeight="1" x14ac:dyDescent="0.2">
      <c r="K32" s="117" t="s">
        <v>52</v>
      </c>
      <c r="L32" s="75">
        <f>L18+L11+L25+L4</f>
        <v>95082</v>
      </c>
    </row>
    <row r="33" spans="11:12" ht="14.25" customHeight="1" x14ac:dyDescent="0.2">
      <c r="K33" s="117" t="s">
        <v>51</v>
      </c>
      <c r="L33" s="75">
        <f>L19+L12+L26+L5</f>
        <v>92265</v>
      </c>
    </row>
    <row r="34" spans="11:12" ht="14.25" customHeight="1" x14ac:dyDescent="0.2">
      <c r="K34" s="117" t="s">
        <v>39</v>
      </c>
      <c r="L34" s="75">
        <f>L33-L32</f>
        <v>-2817</v>
      </c>
    </row>
    <row r="35" spans="11:12" ht="14.25" customHeight="1" x14ac:dyDescent="0.2">
      <c r="K35" s="117" t="s">
        <v>40</v>
      </c>
      <c r="L35" s="75">
        <f>L21+L14+L28+L7</f>
        <v>92265</v>
      </c>
    </row>
    <row r="36" spans="11:12" ht="14.25" customHeight="1" x14ac:dyDescent="0.2">
      <c r="K36" s="3" t="s">
        <v>41</v>
      </c>
      <c r="L36" s="75">
        <f>L35-L33</f>
        <v>0</v>
      </c>
    </row>
  </sheetData>
  <mergeCells count="6">
    <mergeCell ref="M25:M29"/>
    <mergeCell ref="M4:M8"/>
    <mergeCell ref="M11:M15"/>
    <mergeCell ref="M18:M22"/>
    <mergeCell ref="B1:C2"/>
    <mergeCell ref="E2:H2"/>
  </mergeCells>
  <printOptions horizontalCentered="1" verticalCentered="1"/>
  <pageMargins left="0" right="0" top="0" bottom="0" header="0.05" footer="0.05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0593-AE46-4888-B066-0BD411057A83}">
  <dimension ref="B1:O43"/>
  <sheetViews>
    <sheetView view="pageBreakPreview" topLeftCell="F1" zoomScale="95" zoomScaleNormal="93" zoomScaleSheetLayoutView="95" workbookViewId="0">
      <selection activeCell="E34" sqref="E34"/>
    </sheetView>
  </sheetViews>
  <sheetFormatPr defaultColWidth="9.14453125" defaultRowHeight="15" x14ac:dyDescent="0.2"/>
  <cols>
    <col min="1" max="1" width="3.2265625" style="3" customWidth="1"/>
    <col min="2" max="2" width="13.85546875" style="3" customWidth="1"/>
    <col min="3" max="3" width="14.390625" style="3" customWidth="1"/>
    <col min="4" max="4" width="11.1640625" style="3" customWidth="1"/>
    <col min="5" max="5" width="15.19921875" style="3" customWidth="1"/>
    <col min="6" max="6" width="33.359375" style="3" customWidth="1"/>
    <col min="7" max="11" width="7.93359375" style="3" customWidth="1"/>
    <col min="12" max="12" width="11.8359375" style="3" customWidth="1"/>
    <col min="13" max="13" width="12.375" style="3" customWidth="1"/>
    <col min="14" max="14" width="2.5546875" style="3" customWidth="1"/>
    <col min="15" max="16384" width="9.14453125" style="3"/>
  </cols>
  <sheetData>
    <row r="1" spans="2:15" ht="18.75" customHeight="1" x14ac:dyDescent="0.2">
      <c r="B1" s="170" t="s">
        <v>57</v>
      </c>
      <c r="C1" s="170"/>
      <c r="F1" s="93" t="s">
        <v>2</v>
      </c>
    </row>
    <row r="2" spans="2:15" ht="13.5" customHeight="1" thickBot="1" x14ac:dyDescent="0.25">
      <c r="B2" s="171"/>
      <c r="C2" s="171"/>
      <c r="E2" s="172" t="s">
        <v>54</v>
      </c>
      <c r="F2" s="172"/>
      <c r="G2" s="172"/>
      <c r="H2" s="172"/>
      <c r="L2" s="116">
        <v>46194</v>
      </c>
    </row>
    <row r="3" spans="2:15" ht="20.25" customHeight="1" thickBot="1" x14ac:dyDescent="0.25">
      <c r="B3" s="94" t="s">
        <v>17</v>
      </c>
      <c r="C3" s="95" t="s">
        <v>13</v>
      </c>
      <c r="D3" s="95" t="s">
        <v>14</v>
      </c>
      <c r="E3" s="95" t="s">
        <v>9</v>
      </c>
      <c r="F3" s="96" t="s">
        <v>38</v>
      </c>
      <c r="G3" s="97" t="s">
        <v>28</v>
      </c>
      <c r="H3" s="97" t="s">
        <v>29</v>
      </c>
      <c r="I3" s="97" t="s">
        <v>1</v>
      </c>
      <c r="J3" s="98" t="s">
        <v>24</v>
      </c>
      <c r="K3" s="98" t="s">
        <v>25</v>
      </c>
      <c r="L3" s="99" t="s">
        <v>10</v>
      </c>
      <c r="M3" s="99" t="s">
        <v>0</v>
      </c>
    </row>
    <row r="4" spans="2:15" ht="18" customHeight="1" x14ac:dyDescent="0.2">
      <c r="B4" s="100" t="s">
        <v>32</v>
      </c>
      <c r="C4" s="101" t="s">
        <v>31</v>
      </c>
      <c r="D4" s="101">
        <v>14223</v>
      </c>
      <c r="E4" s="101" t="s">
        <v>33</v>
      </c>
      <c r="F4" s="101" t="s">
        <v>55</v>
      </c>
      <c r="G4" s="102">
        <f>'WILD ONE'!K123</f>
        <v>2612</v>
      </c>
      <c r="H4" s="102">
        <f>'WILD ONE'!L123</f>
        <v>2612</v>
      </c>
      <c r="I4" s="102">
        <f>'WILD ONE'!M123</f>
        <v>3918</v>
      </c>
      <c r="J4" s="102">
        <f>'WILD ONE'!N123</f>
        <v>3918</v>
      </c>
      <c r="K4" s="102">
        <f>'WILD ONE'!O123</f>
        <v>2612</v>
      </c>
      <c r="L4" s="147">
        <f>SUM(G4:K4)</f>
        <v>15672</v>
      </c>
      <c r="M4" s="167"/>
    </row>
    <row r="5" spans="2:15" ht="18" customHeight="1" x14ac:dyDescent="0.2">
      <c r="B5" s="103"/>
      <c r="C5" s="104"/>
      <c r="D5" s="105"/>
      <c r="E5" s="105"/>
      <c r="F5" s="106" t="s">
        <v>56</v>
      </c>
      <c r="G5" s="105">
        <f>'WILD ONE'!K192</f>
        <v>2638</v>
      </c>
      <c r="H5" s="105">
        <f>'WILD ONE'!L192</f>
        <v>2638</v>
      </c>
      <c r="I5" s="105">
        <f>'WILD ONE'!M192</f>
        <v>3957</v>
      </c>
      <c r="J5" s="105">
        <f>'WILD ONE'!N192</f>
        <v>3957</v>
      </c>
      <c r="K5" s="105">
        <f>'WILD ONE'!O192</f>
        <v>2638</v>
      </c>
      <c r="L5" s="107">
        <f>SUM(G5:K5)</f>
        <v>15828</v>
      </c>
      <c r="M5" s="168"/>
    </row>
    <row r="6" spans="2:15" ht="18" customHeight="1" x14ac:dyDescent="0.2">
      <c r="B6" s="108"/>
      <c r="C6" s="109"/>
      <c r="D6" s="109"/>
      <c r="E6" s="109"/>
      <c r="F6" s="110" t="s">
        <v>39</v>
      </c>
      <c r="G6" s="122">
        <f>G5-G4</f>
        <v>26</v>
      </c>
      <c r="H6" s="122">
        <f t="shared" ref="H6:K6" si="0">H5-H4</f>
        <v>26</v>
      </c>
      <c r="I6" s="122">
        <f t="shared" si="0"/>
        <v>39</v>
      </c>
      <c r="J6" s="122">
        <f t="shared" si="0"/>
        <v>39</v>
      </c>
      <c r="K6" s="122">
        <f t="shared" si="0"/>
        <v>26</v>
      </c>
      <c r="L6" s="122">
        <f>SUM(G6:K6)</f>
        <v>156</v>
      </c>
      <c r="M6" s="168"/>
    </row>
    <row r="7" spans="2:15" ht="18" customHeight="1" x14ac:dyDescent="0.2">
      <c r="B7" s="103"/>
      <c r="C7" s="105"/>
      <c r="D7" s="105"/>
      <c r="E7" s="105"/>
      <c r="F7" s="105" t="s">
        <v>40</v>
      </c>
      <c r="G7" s="107">
        <f>'WILD ONE'!K238</f>
        <v>1680</v>
      </c>
      <c r="H7" s="107">
        <f>'WILD ONE'!L238</f>
        <v>1680</v>
      </c>
      <c r="I7" s="107">
        <f>'WILD ONE'!M238</f>
        <v>2520</v>
      </c>
      <c r="J7" s="107">
        <f>'WILD ONE'!N238</f>
        <v>2520</v>
      </c>
      <c r="K7" s="107">
        <f>'WILD ONE'!O238</f>
        <v>1680</v>
      </c>
      <c r="L7" s="105">
        <f>SUM(G7:K7)</f>
        <v>10080</v>
      </c>
      <c r="M7" s="168"/>
    </row>
    <row r="8" spans="2:15" s="70" customFormat="1" ht="18" customHeight="1" thickBot="1" x14ac:dyDescent="0.25">
      <c r="B8" s="111"/>
      <c r="C8" s="112"/>
      <c r="D8" s="112"/>
      <c r="E8" s="112"/>
      <c r="F8" s="113" t="s">
        <v>41</v>
      </c>
      <c r="G8" s="123">
        <f>G7-G5</f>
        <v>-958</v>
      </c>
      <c r="H8" s="123">
        <f t="shared" ref="H8:K8" si="1">H7-H5</f>
        <v>-958</v>
      </c>
      <c r="I8" s="123">
        <f t="shared" si="1"/>
        <v>-1437</v>
      </c>
      <c r="J8" s="123">
        <f t="shared" si="1"/>
        <v>-1437</v>
      </c>
      <c r="K8" s="123">
        <f t="shared" si="1"/>
        <v>-958</v>
      </c>
      <c r="L8" s="123">
        <f>SUM(G8:K8)</f>
        <v>-5748</v>
      </c>
      <c r="M8" s="169"/>
    </row>
    <row r="9" spans="2:15" ht="11.25" customHeight="1" thickBot="1" x14ac:dyDescent="0.25"/>
    <row r="10" spans="2:15" ht="20.25" customHeight="1" thickBot="1" x14ac:dyDescent="0.25">
      <c r="B10" s="44" t="s">
        <v>17</v>
      </c>
      <c r="C10" s="50" t="s">
        <v>13</v>
      </c>
      <c r="D10" s="50" t="s">
        <v>14</v>
      </c>
      <c r="E10" s="50" t="s">
        <v>9</v>
      </c>
      <c r="F10" s="96" t="s">
        <v>38</v>
      </c>
      <c r="G10" s="14" t="s">
        <v>28</v>
      </c>
      <c r="H10" s="14" t="s">
        <v>29</v>
      </c>
      <c r="I10" s="14" t="s">
        <v>1</v>
      </c>
      <c r="J10" s="10" t="s">
        <v>24</v>
      </c>
      <c r="K10" s="10" t="s">
        <v>25</v>
      </c>
      <c r="L10" s="12" t="s">
        <v>10</v>
      </c>
      <c r="M10" s="12" t="s">
        <v>0</v>
      </c>
    </row>
    <row r="11" spans="2:15" ht="18" customHeight="1" x14ac:dyDescent="0.2">
      <c r="B11" s="103" t="s">
        <v>32</v>
      </c>
      <c r="C11" s="105" t="s">
        <v>31</v>
      </c>
      <c r="D11" s="101">
        <v>14223</v>
      </c>
      <c r="E11" s="105" t="s">
        <v>34</v>
      </c>
      <c r="F11" s="101" t="s">
        <v>55</v>
      </c>
      <c r="G11" s="107">
        <f>'WANDER IKAT'!K120</f>
        <v>2612</v>
      </c>
      <c r="H11" s="107">
        <f>'WANDER IKAT'!L120</f>
        <v>2612</v>
      </c>
      <c r="I11" s="107">
        <f>'WANDER IKAT'!M120</f>
        <v>2612</v>
      </c>
      <c r="J11" s="107">
        <f>'WANDER IKAT'!N120</f>
        <v>3918</v>
      </c>
      <c r="K11" s="107">
        <f>'WANDER IKAT'!O120</f>
        <v>2612</v>
      </c>
      <c r="L11" s="147">
        <f>SUM(G11:K11)</f>
        <v>14366</v>
      </c>
      <c r="M11" s="167"/>
    </row>
    <row r="12" spans="2:15" ht="18" customHeight="1" x14ac:dyDescent="0.2">
      <c r="B12" s="103"/>
      <c r="C12" s="105"/>
      <c r="D12" s="105"/>
      <c r="E12" s="105"/>
      <c r="F12" s="106" t="s">
        <v>56</v>
      </c>
      <c r="G12" s="105">
        <f>'WANDER IKAT'!K189</f>
        <v>2638</v>
      </c>
      <c r="H12" s="105">
        <f>'WANDER IKAT'!L189</f>
        <v>2638</v>
      </c>
      <c r="I12" s="105">
        <f>'WANDER IKAT'!M189</f>
        <v>2638</v>
      </c>
      <c r="J12" s="105">
        <f>'WANDER IKAT'!N189</f>
        <v>3957</v>
      </c>
      <c r="K12" s="105">
        <f>'WANDER IKAT'!O189</f>
        <v>2638</v>
      </c>
      <c r="L12" s="107">
        <f>SUM(G12:K12)</f>
        <v>14509</v>
      </c>
      <c r="M12" s="168"/>
    </row>
    <row r="13" spans="2:15" ht="18" customHeight="1" x14ac:dyDescent="0.2">
      <c r="B13" s="103"/>
      <c r="C13" s="105"/>
      <c r="D13" s="105"/>
      <c r="E13" s="105"/>
      <c r="F13" s="110" t="s">
        <v>39</v>
      </c>
      <c r="G13" s="122">
        <f>G12-G11</f>
        <v>26</v>
      </c>
      <c r="H13" s="122">
        <f t="shared" ref="H13:K13" si="2">H12-H11</f>
        <v>26</v>
      </c>
      <c r="I13" s="122">
        <f t="shared" si="2"/>
        <v>26</v>
      </c>
      <c r="J13" s="122">
        <f t="shared" si="2"/>
        <v>39</v>
      </c>
      <c r="K13" s="122">
        <f t="shared" si="2"/>
        <v>26</v>
      </c>
      <c r="L13" s="122">
        <f>SUM(G13:K13)</f>
        <v>143</v>
      </c>
      <c r="M13" s="168"/>
      <c r="O13" s="3" t="s">
        <v>61</v>
      </c>
    </row>
    <row r="14" spans="2:15" ht="18" customHeight="1" x14ac:dyDescent="0.2">
      <c r="B14" s="103"/>
      <c r="C14" s="105"/>
      <c r="D14" s="105"/>
      <c r="E14" s="105"/>
      <c r="F14" s="105" t="s">
        <v>40</v>
      </c>
      <c r="G14" s="105">
        <f>'WANDER IKAT'!K252</f>
        <v>2404</v>
      </c>
      <c r="H14" s="105">
        <f>'WANDER IKAT'!L252</f>
        <v>2404</v>
      </c>
      <c r="I14" s="105">
        <f>'WANDER IKAT'!M252</f>
        <v>2404</v>
      </c>
      <c r="J14" s="105">
        <f>'WANDER IKAT'!N252</f>
        <v>3606</v>
      </c>
      <c r="K14" s="105">
        <f>'WANDER IKAT'!O252</f>
        <v>2404</v>
      </c>
      <c r="L14" s="105">
        <f>SUM(G14:K14)</f>
        <v>13222</v>
      </c>
      <c r="M14" s="168"/>
    </row>
    <row r="15" spans="2:15" ht="18" customHeight="1" thickBot="1" x14ac:dyDescent="0.25">
      <c r="B15" s="114"/>
      <c r="C15" s="115"/>
      <c r="D15" s="115"/>
      <c r="E15" s="115"/>
      <c r="F15" s="113" t="s">
        <v>41</v>
      </c>
      <c r="G15" s="123">
        <f>G14-G12</f>
        <v>-234</v>
      </c>
      <c r="H15" s="123">
        <f t="shared" ref="H15:K15" si="3">H14-H12</f>
        <v>-234</v>
      </c>
      <c r="I15" s="123">
        <f t="shared" si="3"/>
        <v>-234</v>
      </c>
      <c r="J15" s="123">
        <f t="shared" si="3"/>
        <v>-351</v>
      </c>
      <c r="K15" s="123">
        <f t="shared" si="3"/>
        <v>-234</v>
      </c>
      <c r="L15" s="123">
        <f>SUM(G15:K15)</f>
        <v>-1287</v>
      </c>
      <c r="M15" s="169"/>
    </row>
    <row r="16" spans="2:15" ht="11.25" customHeight="1" thickBot="1" x14ac:dyDescent="0.25"/>
    <row r="17" spans="2:13" ht="20.25" customHeight="1" thickBot="1" x14ac:dyDescent="0.25">
      <c r="B17" s="44" t="s">
        <v>17</v>
      </c>
      <c r="C17" s="50" t="s">
        <v>13</v>
      </c>
      <c r="D17" s="50" t="s">
        <v>14</v>
      </c>
      <c r="E17" s="50" t="s">
        <v>9</v>
      </c>
      <c r="F17" s="96" t="s">
        <v>38</v>
      </c>
      <c r="G17" s="14" t="s">
        <v>28</v>
      </c>
      <c r="H17" s="14" t="s">
        <v>29</v>
      </c>
      <c r="I17" s="14" t="s">
        <v>1</v>
      </c>
      <c r="J17" s="10" t="s">
        <v>24</v>
      </c>
      <c r="K17" s="10" t="s">
        <v>25</v>
      </c>
      <c r="L17" s="12" t="s">
        <v>10</v>
      </c>
      <c r="M17" s="12" t="s">
        <v>0</v>
      </c>
    </row>
    <row r="18" spans="2:13" ht="18" customHeight="1" x14ac:dyDescent="0.2">
      <c r="B18" s="103" t="s">
        <v>32</v>
      </c>
      <c r="C18" s="105" t="s">
        <v>31</v>
      </c>
      <c r="D18" s="101">
        <v>14223</v>
      </c>
      <c r="E18" s="105" t="s">
        <v>35</v>
      </c>
      <c r="F18" s="101" t="s">
        <v>55</v>
      </c>
      <c r="G18" s="107">
        <f>'HEART PARADE'!K112</f>
        <v>3918</v>
      </c>
      <c r="H18" s="107">
        <f>'HEART PARADE'!L112</f>
        <v>2612</v>
      </c>
      <c r="I18" s="107">
        <f>'HEART PARADE'!M112</f>
        <v>2612</v>
      </c>
      <c r="J18" s="107">
        <f>'HEART PARADE'!N112</f>
        <v>2612</v>
      </c>
      <c r="K18" s="107">
        <f>'HEART PARADE'!O112</f>
        <v>2612</v>
      </c>
      <c r="L18" s="147">
        <f>SUM(G18:K18)</f>
        <v>14366</v>
      </c>
      <c r="M18" s="167"/>
    </row>
    <row r="19" spans="2:13" ht="18" customHeight="1" x14ac:dyDescent="0.2">
      <c r="B19" s="103"/>
      <c r="C19" s="105"/>
      <c r="D19" s="105"/>
      <c r="E19" s="105"/>
      <c r="F19" s="106" t="s">
        <v>56</v>
      </c>
      <c r="G19" s="105">
        <f>'HEART PARADE'!K177</f>
        <v>3957</v>
      </c>
      <c r="H19" s="105">
        <f>'HEART PARADE'!L177</f>
        <v>2638</v>
      </c>
      <c r="I19" s="105">
        <f>'HEART PARADE'!M177</f>
        <v>2638</v>
      </c>
      <c r="J19" s="105">
        <f>'HEART PARADE'!N177</f>
        <v>2638</v>
      </c>
      <c r="K19" s="105">
        <f>'HEART PARADE'!O177</f>
        <v>2638</v>
      </c>
      <c r="L19" s="107">
        <f>SUM(G19:K19)</f>
        <v>14509</v>
      </c>
      <c r="M19" s="168"/>
    </row>
    <row r="20" spans="2:13" ht="18" customHeight="1" x14ac:dyDescent="0.2">
      <c r="B20" s="103"/>
      <c r="C20" s="105"/>
      <c r="D20" s="105"/>
      <c r="E20" s="105"/>
      <c r="F20" s="110" t="s">
        <v>39</v>
      </c>
      <c r="G20" s="122">
        <f>G19-G18</f>
        <v>39</v>
      </c>
      <c r="H20" s="122">
        <f t="shared" ref="H20:K20" si="4">H19-H18</f>
        <v>26</v>
      </c>
      <c r="I20" s="122">
        <f t="shared" si="4"/>
        <v>26</v>
      </c>
      <c r="J20" s="122">
        <f t="shared" si="4"/>
        <v>26</v>
      </c>
      <c r="K20" s="122">
        <f t="shared" si="4"/>
        <v>26</v>
      </c>
      <c r="L20" s="122">
        <f>SUM(G20:K20)</f>
        <v>143</v>
      </c>
      <c r="M20" s="168"/>
    </row>
    <row r="21" spans="2:13" ht="18" customHeight="1" x14ac:dyDescent="0.2">
      <c r="B21" s="103"/>
      <c r="C21" s="105"/>
      <c r="D21" s="105"/>
      <c r="E21" s="105"/>
      <c r="F21" s="105" t="s">
        <v>40</v>
      </c>
      <c r="G21" s="105">
        <f>'HEART PARADE'!K232</f>
        <v>3879</v>
      </c>
      <c r="H21" s="105">
        <f>'HEART PARADE'!L232</f>
        <v>2586</v>
      </c>
      <c r="I21" s="105">
        <f>'HEART PARADE'!M232</f>
        <v>2586</v>
      </c>
      <c r="J21" s="105">
        <f>'HEART PARADE'!N232</f>
        <v>2586</v>
      </c>
      <c r="K21" s="105">
        <f>'HEART PARADE'!O232</f>
        <v>2586</v>
      </c>
      <c r="L21" s="105">
        <f>SUM(G21:K21)</f>
        <v>14223</v>
      </c>
      <c r="M21" s="168"/>
    </row>
    <row r="22" spans="2:13" ht="18" customHeight="1" thickBot="1" x14ac:dyDescent="0.25">
      <c r="B22" s="114"/>
      <c r="C22" s="115"/>
      <c r="D22" s="115"/>
      <c r="E22" s="115"/>
      <c r="F22" s="113" t="s">
        <v>41</v>
      </c>
      <c r="G22" s="123">
        <f>G21-G19</f>
        <v>-78</v>
      </c>
      <c r="H22" s="123">
        <f t="shared" ref="H22:K22" si="5">H21-H19</f>
        <v>-52</v>
      </c>
      <c r="I22" s="123">
        <f t="shared" si="5"/>
        <v>-52</v>
      </c>
      <c r="J22" s="123">
        <f t="shared" si="5"/>
        <v>-52</v>
      </c>
      <c r="K22" s="123">
        <f t="shared" si="5"/>
        <v>-52</v>
      </c>
      <c r="L22" s="123">
        <f>SUM(G22:K22)</f>
        <v>-286</v>
      </c>
      <c r="M22" s="169"/>
    </row>
    <row r="23" spans="2:13" ht="11.25" customHeight="1" thickBot="1" x14ac:dyDescent="0.25"/>
    <row r="24" spans="2:13" ht="19.5" customHeight="1" thickBot="1" x14ac:dyDescent="0.25">
      <c r="B24" s="44" t="s">
        <v>17</v>
      </c>
      <c r="C24" s="50" t="s">
        <v>13</v>
      </c>
      <c r="D24" s="50" t="s">
        <v>14</v>
      </c>
      <c r="E24" s="50" t="s">
        <v>9</v>
      </c>
      <c r="F24" s="96" t="s">
        <v>38</v>
      </c>
      <c r="G24" s="14" t="s">
        <v>28</v>
      </c>
      <c r="H24" s="14" t="s">
        <v>29</v>
      </c>
      <c r="I24" s="14" t="s">
        <v>1</v>
      </c>
      <c r="J24" s="10" t="s">
        <v>24</v>
      </c>
      <c r="K24" s="10" t="s">
        <v>25</v>
      </c>
      <c r="L24" s="12" t="s">
        <v>10</v>
      </c>
      <c r="M24" s="12" t="s">
        <v>0</v>
      </c>
    </row>
    <row r="25" spans="2:13" ht="18" customHeight="1" x14ac:dyDescent="0.2">
      <c r="B25" s="100" t="s">
        <v>32</v>
      </c>
      <c r="C25" s="101" t="s">
        <v>31</v>
      </c>
      <c r="D25" s="101">
        <v>14223</v>
      </c>
      <c r="E25" s="101" t="s">
        <v>36</v>
      </c>
      <c r="F25" s="101" t="s">
        <v>55</v>
      </c>
      <c r="G25" s="102">
        <f>'ANTIQUE ROSE'!K98</f>
        <v>2612</v>
      </c>
      <c r="H25" s="102">
        <f>'ANTIQUE ROSE'!L98</f>
        <v>1306</v>
      </c>
      <c r="I25" s="102">
        <f>'ANTIQUE ROSE'!M98</f>
        <v>3918</v>
      </c>
      <c r="J25" s="102">
        <f>'ANTIQUE ROSE'!N98</f>
        <v>3918</v>
      </c>
      <c r="K25" s="102">
        <f>'ANTIQUE ROSE'!O98</f>
        <v>3918</v>
      </c>
      <c r="L25" s="147">
        <f>SUM(G25:K25)</f>
        <v>15672</v>
      </c>
      <c r="M25" s="167"/>
    </row>
    <row r="26" spans="2:13" ht="18" customHeight="1" x14ac:dyDescent="0.2">
      <c r="B26" s="103"/>
      <c r="C26" s="105"/>
      <c r="D26" s="105"/>
      <c r="E26" s="105"/>
      <c r="F26" s="106" t="s">
        <v>56</v>
      </c>
      <c r="G26" s="105">
        <f>'ANTIQUE ROSE'!K154</f>
        <v>2638</v>
      </c>
      <c r="H26" s="105">
        <f>'ANTIQUE ROSE'!L154</f>
        <v>1319</v>
      </c>
      <c r="I26" s="105">
        <f>'ANTIQUE ROSE'!M154</f>
        <v>3957</v>
      </c>
      <c r="J26" s="105">
        <f>'ANTIQUE ROSE'!N154</f>
        <v>3957</v>
      </c>
      <c r="K26" s="105">
        <f>'ANTIQUE ROSE'!O154</f>
        <v>3957</v>
      </c>
      <c r="L26" s="107">
        <f>SUM(G26:K26)</f>
        <v>15828</v>
      </c>
      <c r="M26" s="168"/>
    </row>
    <row r="27" spans="2:13" ht="18" customHeight="1" x14ac:dyDescent="0.2">
      <c r="B27" s="103"/>
      <c r="C27" s="105"/>
      <c r="D27" s="105"/>
      <c r="E27" s="105"/>
      <c r="F27" s="110" t="s">
        <v>39</v>
      </c>
      <c r="G27" s="122">
        <f>G26-G25</f>
        <v>26</v>
      </c>
      <c r="H27" s="122">
        <f t="shared" ref="H27:K27" si="6">H26-H25</f>
        <v>13</v>
      </c>
      <c r="I27" s="122">
        <f t="shared" si="6"/>
        <v>39</v>
      </c>
      <c r="J27" s="122">
        <f t="shared" si="6"/>
        <v>39</v>
      </c>
      <c r="K27" s="122">
        <f t="shared" si="6"/>
        <v>39</v>
      </c>
      <c r="L27" s="122">
        <f>SUM(G27:K27)</f>
        <v>156</v>
      </c>
      <c r="M27" s="168"/>
    </row>
    <row r="28" spans="2:13" ht="18" customHeight="1" x14ac:dyDescent="0.2">
      <c r="B28" s="103"/>
      <c r="C28" s="105"/>
      <c r="D28" s="105"/>
      <c r="E28" s="105"/>
      <c r="F28" s="105" t="s">
        <v>40</v>
      </c>
      <c r="G28" s="105">
        <f>'ANTIQUE ROSE'!K202</f>
        <v>2302</v>
      </c>
      <c r="H28" s="105">
        <f>'ANTIQUE ROSE'!L202</f>
        <v>1151</v>
      </c>
      <c r="I28" s="105">
        <f>'ANTIQUE ROSE'!M202</f>
        <v>3453</v>
      </c>
      <c r="J28" s="105">
        <f>'ANTIQUE ROSE'!N202</f>
        <v>3453</v>
      </c>
      <c r="K28" s="105">
        <f>'ANTIQUE ROSE'!O202</f>
        <v>3453</v>
      </c>
      <c r="L28" s="105">
        <f>SUM(G28:K28)</f>
        <v>13812</v>
      </c>
      <c r="M28" s="168"/>
    </row>
    <row r="29" spans="2:13" ht="18" customHeight="1" thickBot="1" x14ac:dyDescent="0.25">
      <c r="B29" s="114"/>
      <c r="C29" s="115"/>
      <c r="D29" s="115"/>
      <c r="E29" s="115"/>
      <c r="F29" s="113" t="s">
        <v>41</v>
      </c>
      <c r="G29" s="123">
        <f>G28-G26</f>
        <v>-336</v>
      </c>
      <c r="H29" s="123">
        <f t="shared" ref="H29:K29" si="7">H28-H26</f>
        <v>-168</v>
      </c>
      <c r="I29" s="123">
        <f t="shared" si="7"/>
        <v>-504</v>
      </c>
      <c r="J29" s="123">
        <f t="shared" si="7"/>
        <v>-504</v>
      </c>
      <c r="K29" s="123">
        <f t="shared" si="7"/>
        <v>-504</v>
      </c>
      <c r="L29" s="123">
        <f>SUM(G29:K29)</f>
        <v>-2016</v>
      </c>
      <c r="M29" s="169"/>
    </row>
    <row r="30" spans="2:13" ht="11.25" customHeight="1" x14ac:dyDescent="0.2"/>
    <row r="31" spans="2:13" ht="12" customHeight="1" x14ac:dyDescent="0.2"/>
    <row r="32" spans="2:13" ht="14.25" customHeight="1" x14ac:dyDescent="0.2">
      <c r="K32" s="117" t="s">
        <v>55</v>
      </c>
      <c r="L32" s="75">
        <f>L18+L11+L25+L4</f>
        <v>60076</v>
      </c>
    </row>
    <row r="33" spans="11:12" ht="14.25" customHeight="1" x14ac:dyDescent="0.2">
      <c r="K33" s="149" t="s">
        <v>56</v>
      </c>
      <c r="L33" s="75">
        <f>L19+L12+L26+L5</f>
        <v>60674</v>
      </c>
    </row>
    <row r="34" spans="11:12" ht="14.25" customHeight="1" x14ac:dyDescent="0.2">
      <c r="K34" s="117" t="s">
        <v>39</v>
      </c>
      <c r="L34" s="75">
        <f>L33-L32</f>
        <v>598</v>
      </c>
    </row>
    <row r="35" spans="11:12" ht="14.25" customHeight="1" x14ac:dyDescent="0.2">
      <c r="K35" s="117" t="s">
        <v>40</v>
      </c>
      <c r="L35" s="75">
        <f>L21+L14+L28+L7</f>
        <v>51337</v>
      </c>
    </row>
    <row r="36" spans="11:12" ht="14.25" customHeight="1" x14ac:dyDescent="0.2">
      <c r="K36" s="3" t="s">
        <v>41</v>
      </c>
      <c r="L36" s="75">
        <f>L35-L33</f>
        <v>-9337</v>
      </c>
    </row>
    <row r="38" spans="11:12" x14ac:dyDescent="0.2">
      <c r="K38" s="117" t="s">
        <v>59</v>
      </c>
      <c r="L38" s="75">
        <f>L32+'1ST ORDER'!L32</f>
        <v>155158</v>
      </c>
    </row>
    <row r="39" spans="11:12" x14ac:dyDescent="0.2">
      <c r="K39" s="149" t="s">
        <v>60</v>
      </c>
      <c r="L39" s="75">
        <f>L33+'1ST ORDER'!L33</f>
        <v>152939</v>
      </c>
    </row>
    <row r="40" spans="11:12" x14ac:dyDescent="0.2">
      <c r="K40" s="117" t="str">
        <f t="shared" ref="K40" si="8">K34</f>
        <v>ORDER QTY. TO  CUTTING BALANCE=</v>
      </c>
      <c r="L40" s="75">
        <f>L39-L38</f>
        <v>-2219</v>
      </c>
    </row>
    <row r="41" spans="11:12" x14ac:dyDescent="0.2">
      <c r="K41" s="117" t="str">
        <f t="shared" ref="K41" si="9">K35</f>
        <v>INPUT QUANTITY.</v>
      </c>
      <c r="L41" s="75">
        <f>L35+'1ST ORDER'!L35</f>
        <v>143602</v>
      </c>
    </row>
    <row r="42" spans="11:12" x14ac:dyDescent="0.2">
      <c r="K42" s="117" t="str">
        <f t="shared" ref="K42" si="10">K36</f>
        <v>CUTTING TO INPUT BALANCE=</v>
      </c>
      <c r="L42" s="75">
        <f>L41-L39</f>
        <v>-9337</v>
      </c>
    </row>
    <row r="43" spans="11:12" x14ac:dyDescent="0.2">
      <c r="K43" s="148"/>
    </row>
  </sheetData>
  <mergeCells count="6">
    <mergeCell ref="M4:M8"/>
    <mergeCell ref="M11:M15"/>
    <mergeCell ref="M18:M22"/>
    <mergeCell ref="M25:M29"/>
    <mergeCell ref="B1:C2"/>
    <mergeCell ref="E2:H2"/>
  </mergeCells>
  <printOptions horizontalCentered="1" verticalCentered="1"/>
  <pageMargins left="0" right="0" top="0" bottom="0" header="0.05" footer="0.05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3CAB-EDA1-4155-B501-B928258656A5}">
  <dimension ref="A1:R233"/>
  <sheetViews>
    <sheetView view="pageBreakPreview" topLeftCell="G190" zoomScale="80" zoomScaleNormal="78" zoomScaleSheetLayoutView="80" workbookViewId="0">
      <selection activeCell="L216" sqref="L216"/>
    </sheetView>
  </sheetViews>
  <sheetFormatPr defaultRowHeight="15" x14ac:dyDescent="0.2"/>
  <cols>
    <col min="1" max="1" width="17.484375" style="45" customWidth="1"/>
    <col min="2" max="2" width="17.21875" style="43" customWidth="1"/>
    <col min="3" max="3" width="14.390625" style="43" customWidth="1"/>
    <col min="4" max="4" width="19.7734375" style="43" customWidth="1"/>
    <col min="5" max="5" width="13.98828125" style="61" customWidth="1"/>
    <col min="6" max="6" width="13.71875" style="43" customWidth="1"/>
    <col min="7" max="7" width="15.73828125" customWidth="1"/>
    <col min="8" max="8" width="7.80078125" customWidth="1"/>
    <col min="9" max="9" width="7.6640625" style="1" customWidth="1"/>
    <col min="10" max="10" width="8.609375" customWidth="1"/>
    <col min="11" max="15" width="9.55078125" style="1" customWidth="1"/>
    <col min="16" max="16" width="13.1796875" style="1" customWidth="1"/>
    <col min="17" max="17" width="14.52734375" style="1" customWidth="1"/>
    <col min="18" max="18" width="18.5625" style="61" customWidth="1"/>
    <col min="19" max="19" width="9.01171875" customWidth="1"/>
    <col min="21" max="25" width="9.14453125" customWidth="1"/>
  </cols>
  <sheetData>
    <row r="1" spans="1:18" s="31" customFormat="1" ht="28.5" customHeight="1" x14ac:dyDescent="0.45">
      <c r="A1" s="45"/>
      <c r="B1" s="40"/>
      <c r="C1" s="40"/>
      <c r="D1" s="40"/>
      <c r="E1" s="40"/>
      <c r="F1" s="40"/>
      <c r="I1" s="33" t="s">
        <v>27</v>
      </c>
      <c r="K1" s="32"/>
      <c r="L1" s="32"/>
      <c r="M1" s="32"/>
      <c r="N1" s="32"/>
      <c r="O1" s="32"/>
      <c r="P1" s="32"/>
      <c r="Q1" s="32"/>
      <c r="R1" s="80"/>
    </row>
    <row r="2" spans="1:18" s="1" customFormat="1" ht="18.75" customHeight="1" thickBot="1" x14ac:dyDescent="0.35">
      <c r="A2" s="46"/>
      <c r="B2" s="41"/>
      <c r="C2" s="41"/>
      <c r="D2" s="41"/>
      <c r="E2" s="41"/>
      <c r="F2" s="41"/>
      <c r="I2" s="90" t="s">
        <v>26</v>
      </c>
      <c r="K2" s="30"/>
      <c r="L2" s="30"/>
      <c r="M2" s="30"/>
      <c r="N2" s="30"/>
      <c r="O2" s="30"/>
      <c r="P2" s="30"/>
      <c r="Q2" s="30"/>
      <c r="R2" s="81"/>
    </row>
    <row r="3" spans="1:18" s="2" customFormat="1" ht="27" customHeight="1" thickBot="1" x14ac:dyDescent="0.25">
      <c r="A3" s="91"/>
      <c r="B3" s="51"/>
      <c r="C3" s="51"/>
      <c r="D3" s="51"/>
      <c r="E3" s="52"/>
      <c r="F3" s="53"/>
      <c r="G3" s="15"/>
      <c r="H3" s="15"/>
      <c r="I3" s="15"/>
      <c r="J3" s="16" t="s">
        <v>16</v>
      </c>
      <c r="K3" s="17">
        <v>1306</v>
      </c>
      <c r="L3" s="17">
        <v>653</v>
      </c>
      <c r="M3" s="17">
        <v>1959</v>
      </c>
      <c r="N3" s="17">
        <v>1959</v>
      </c>
      <c r="O3" s="17">
        <v>1959</v>
      </c>
      <c r="P3" s="18">
        <f>SUM(K3:O3)</f>
        <v>7836</v>
      </c>
      <c r="Q3" s="37"/>
      <c r="R3" s="76"/>
    </row>
    <row r="4" spans="1:18" s="13" customFormat="1" ht="30.75" customHeight="1" thickBot="1" x14ac:dyDescent="0.2">
      <c r="A4" s="44" t="s">
        <v>17</v>
      </c>
      <c r="B4" s="50" t="s">
        <v>13</v>
      </c>
      <c r="C4" s="50" t="s">
        <v>14</v>
      </c>
      <c r="D4" s="50" t="s">
        <v>9</v>
      </c>
      <c r="E4" s="50" t="s">
        <v>22</v>
      </c>
      <c r="F4" s="50" t="s">
        <v>8</v>
      </c>
      <c r="G4" s="10" t="s">
        <v>7</v>
      </c>
      <c r="H4" s="10" t="s">
        <v>5</v>
      </c>
      <c r="I4" s="10" t="s">
        <v>6</v>
      </c>
      <c r="J4" s="11" t="s">
        <v>4</v>
      </c>
      <c r="K4" s="14" t="s">
        <v>28</v>
      </c>
      <c r="L4" s="14" t="s">
        <v>29</v>
      </c>
      <c r="M4" s="14" t="s">
        <v>1</v>
      </c>
      <c r="N4" s="14" t="s">
        <v>24</v>
      </c>
      <c r="O4" s="14" t="s">
        <v>25</v>
      </c>
      <c r="P4" s="12" t="s">
        <v>10</v>
      </c>
      <c r="Q4" s="12" t="s">
        <v>3</v>
      </c>
      <c r="R4" s="85" t="s">
        <v>0</v>
      </c>
    </row>
    <row r="5" spans="1:18" s="3" customFormat="1" ht="15.95" customHeight="1" x14ac:dyDescent="0.2">
      <c r="A5" s="86" t="s">
        <v>32</v>
      </c>
      <c r="B5" s="87" t="s">
        <v>31</v>
      </c>
      <c r="C5" s="87">
        <v>14220</v>
      </c>
      <c r="D5" s="87" t="s">
        <v>36</v>
      </c>
      <c r="E5" s="88">
        <f>P3</f>
        <v>7836</v>
      </c>
      <c r="F5" s="89"/>
      <c r="G5" s="4">
        <v>46152</v>
      </c>
      <c r="H5" s="5">
        <v>16</v>
      </c>
      <c r="I5" s="5"/>
      <c r="J5" s="5">
        <v>1</v>
      </c>
      <c r="K5" s="5">
        <v>32</v>
      </c>
      <c r="L5" s="5">
        <v>16</v>
      </c>
      <c r="M5" s="5">
        <f>16*3</f>
        <v>48</v>
      </c>
      <c r="N5" s="5">
        <f t="shared" ref="N5:O5" si="0">16*3</f>
        <v>48</v>
      </c>
      <c r="O5" s="5">
        <f t="shared" si="0"/>
        <v>48</v>
      </c>
      <c r="P5" s="6">
        <f>IF(G5="","",SUM(K5:O5))</f>
        <v>192</v>
      </c>
      <c r="Q5" s="7">
        <f>IF(P5="","",P5)</f>
        <v>192</v>
      </c>
      <c r="R5" s="79" t="s">
        <v>23</v>
      </c>
    </row>
    <row r="6" spans="1:18" ht="15.95" customHeight="1" x14ac:dyDescent="0.2">
      <c r="A6" s="47" t="s">
        <v>37</v>
      </c>
      <c r="B6" s="55"/>
      <c r="C6" s="9"/>
      <c r="D6" s="55" t="s">
        <v>45</v>
      </c>
      <c r="E6" s="56"/>
      <c r="F6" s="57"/>
      <c r="G6" s="8">
        <v>46153</v>
      </c>
      <c r="H6" s="9">
        <v>15</v>
      </c>
      <c r="I6" s="9"/>
      <c r="J6" s="9">
        <v>2</v>
      </c>
      <c r="K6" s="9">
        <v>30</v>
      </c>
      <c r="L6" s="9">
        <v>15</v>
      </c>
      <c r="M6" s="9">
        <v>45</v>
      </c>
      <c r="N6" s="9">
        <v>45</v>
      </c>
      <c r="O6" s="9">
        <v>45</v>
      </c>
      <c r="P6" s="6">
        <f>IF(G6="","",SUM(K6:O6))</f>
        <v>180</v>
      </c>
      <c r="Q6" s="6">
        <f>IF(P6="","",Q5+P6)</f>
        <v>372</v>
      </c>
      <c r="R6" s="42" t="s">
        <v>23</v>
      </c>
    </row>
    <row r="7" spans="1:18" ht="15.75" customHeight="1" x14ac:dyDescent="0.2">
      <c r="A7" s="47"/>
      <c r="B7" s="55"/>
      <c r="C7" s="9"/>
      <c r="D7" s="9"/>
      <c r="E7" s="56"/>
      <c r="F7" s="57"/>
      <c r="G7" s="8">
        <v>46153</v>
      </c>
      <c r="H7" s="9">
        <v>25</v>
      </c>
      <c r="I7" s="9"/>
      <c r="J7" s="9">
        <v>3</v>
      </c>
      <c r="K7" s="9">
        <v>50</v>
      </c>
      <c r="L7" s="9">
        <v>25</v>
      </c>
      <c r="M7" s="9">
        <v>75</v>
      </c>
      <c r="N7" s="9">
        <v>75</v>
      </c>
      <c r="O7" s="9">
        <v>75</v>
      </c>
      <c r="P7" s="6">
        <f>IF(G7="","",SUM(K7:O7))</f>
        <v>300</v>
      </c>
      <c r="Q7" s="6">
        <f>IF(P7="","",Q6+P7)</f>
        <v>672</v>
      </c>
      <c r="R7" s="42" t="s">
        <v>23</v>
      </c>
    </row>
    <row r="8" spans="1:18" ht="15.95" customHeight="1" x14ac:dyDescent="0.2">
      <c r="A8" s="47"/>
      <c r="B8" s="55"/>
      <c r="C8" s="9"/>
      <c r="D8" s="55"/>
      <c r="E8" s="56"/>
      <c r="F8" s="57"/>
      <c r="G8" s="72">
        <v>46154</v>
      </c>
      <c r="H8" s="73">
        <v>20</v>
      </c>
      <c r="I8" s="73"/>
      <c r="J8" s="73">
        <v>4</v>
      </c>
      <c r="K8" s="73">
        <v>40</v>
      </c>
      <c r="L8" s="73">
        <v>20</v>
      </c>
      <c r="M8" s="73">
        <v>60</v>
      </c>
      <c r="N8" s="73">
        <v>60</v>
      </c>
      <c r="O8" s="73">
        <v>60</v>
      </c>
      <c r="P8" s="6">
        <f t="shared" ref="P8:P9" si="1">IF(G8="","",SUM(K8:O8))</f>
        <v>240</v>
      </c>
      <c r="Q8" s="6">
        <f t="shared" ref="Q8:Q9" si="2">IF(P8="","",Q7+P8)</f>
        <v>912</v>
      </c>
      <c r="R8" s="74" t="s">
        <v>23</v>
      </c>
    </row>
    <row r="9" spans="1:18" ht="15.95" customHeight="1" x14ac:dyDescent="0.2">
      <c r="A9" s="47"/>
      <c r="B9" s="55"/>
      <c r="C9" s="9"/>
      <c r="D9" s="55"/>
      <c r="E9" s="56"/>
      <c r="F9" s="57"/>
      <c r="G9" s="8">
        <v>46154</v>
      </c>
      <c r="H9" s="9">
        <v>25</v>
      </c>
      <c r="I9" s="9"/>
      <c r="J9" s="9">
        <v>5</v>
      </c>
      <c r="K9" s="9">
        <f>25*2</f>
        <v>50</v>
      </c>
      <c r="L9" s="9">
        <v>25</v>
      </c>
      <c r="M9" s="9">
        <v>75</v>
      </c>
      <c r="N9" s="9">
        <v>75</v>
      </c>
      <c r="O9" s="9">
        <v>75</v>
      </c>
      <c r="P9" s="6">
        <f t="shared" si="1"/>
        <v>300</v>
      </c>
      <c r="Q9" s="6">
        <f t="shared" si="2"/>
        <v>1212</v>
      </c>
      <c r="R9" s="42" t="s">
        <v>23</v>
      </c>
    </row>
    <row r="10" spans="1:18" ht="15.95" customHeight="1" x14ac:dyDescent="0.2">
      <c r="A10" s="47"/>
      <c r="B10" s="55"/>
      <c r="C10" s="9"/>
      <c r="D10" s="55"/>
      <c r="E10" s="56"/>
      <c r="F10" s="57"/>
      <c r="G10" s="8">
        <v>46154</v>
      </c>
      <c r="H10" s="9">
        <v>25</v>
      </c>
      <c r="I10" s="9"/>
      <c r="J10" s="9">
        <v>6</v>
      </c>
      <c r="K10" s="9">
        <v>50</v>
      </c>
      <c r="L10" s="9">
        <v>25</v>
      </c>
      <c r="M10" s="9">
        <v>75</v>
      </c>
      <c r="N10" s="9">
        <v>75</v>
      </c>
      <c r="O10" s="9">
        <v>75</v>
      </c>
      <c r="P10" s="6">
        <f t="shared" ref="P10:P16" si="3">IF(G10="","",SUM(K10:O10))</f>
        <v>300</v>
      </c>
      <c r="Q10" s="6">
        <f t="shared" ref="Q10:Q16" si="4">IF(P10="","",Q9+P10)</f>
        <v>1512</v>
      </c>
      <c r="R10" s="42" t="s">
        <v>23</v>
      </c>
    </row>
    <row r="11" spans="1:18" ht="15.95" customHeight="1" x14ac:dyDescent="0.2">
      <c r="A11" s="47"/>
      <c r="B11" s="55"/>
      <c r="C11" s="9"/>
      <c r="D11" s="55"/>
      <c r="E11" s="56"/>
      <c r="F11" s="57"/>
      <c r="G11" s="8">
        <v>46155</v>
      </c>
      <c r="H11" s="9">
        <v>18</v>
      </c>
      <c r="I11" s="9"/>
      <c r="J11" s="9">
        <v>7</v>
      </c>
      <c r="K11" s="9">
        <v>36</v>
      </c>
      <c r="L11" s="9">
        <v>18</v>
      </c>
      <c r="M11" s="9">
        <f>18*3</f>
        <v>54</v>
      </c>
      <c r="N11" s="9">
        <v>54</v>
      </c>
      <c r="O11" s="9">
        <v>54</v>
      </c>
      <c r="P11" s="6">
        <f t="shared" si="3"/>
        <v>216</v>
      </c>
      <c r="Q11" s="6">
        <f t="shared" si="4"/>
        <v>1728</v>
      </c>
      <c r="R11" s="42" t="s">
        <v>23</v>
      </c>
    </row>
    <row r="12" spans="1:18" ht="15.95" customHeight="1" x14ac:dyDescent="0.2">
      <c r="A12" s="47"/>
      <c r="B12" s="55"/>
      <c r="C12" s="9"/>
      <c r="D12" s="55"/>
      <c r="E12" s="56"/>
      <c r="F12" s="57"/>
      <c r="G12" s="8">
        <v>46156</v>
      </c>
      <c r="H12" s="9">
        <v>25</v>
      </c>
      <c r="I12" s="9"/>
      <c r="J12" s="9">
        <v>8</v>
      </c>
      <c r="K12" s="9">
        <v>50</v>
      </c>
      <c r="L12" s="9">
        <v>25</v>
      </c>
      <c r="M12" s="9">
        <v>75</v>
      </c>
      <c r="N12" s="9">
        <v>75</v>
      </c>
      <c r="O12" s="9">
        <v>75</v>
      </c>
      <c r="P12" s="6">
        <f t="shared" si="3"/>
        <v>300</v>
      </c>
      <c r="Q12" s="6">
        <f t="shared" si="4"/>
        <v>2028</v>
      </c>
      <c r="R12" s="42" t="s">
        <v>23</v>
      </c>
    </row>
    <row r="13" spans="1:18" ht="15.95" customHeight="1" x14ac:dyDescent="0.2">
      <c r="A13" s="47"/>
      <c r="B13" s="55"/>
      <c r="C13" s="9"/>
      <c r="D13" s="55"/>
      <c r="E13" s="56"/>
      <c r="F13" s="57"/>
      <c r="G13" s="8">
        <v>46156</v>
      </c>
      <c r="H13" s="9">
        <v>25</v>
      </c>
      <c r="I13" s="9"/>
      <c r="J13" s="9">
        <v>9</v>
      </c>
      <c r="K13" s="9">
        <v>50</v>
      </c>
      <c r="L13" s="9">
        <v>25</v>
      </c>
      <c r="M13" s="9">
        <v>75</v>
      </c>
      <c r="N13" s="9">
        <v>75</v>
      </c>
      <c r="O13" s="9">
        <v>75</v>
      </c>
      <c r="P13" s="6">
        <f t="shared" si="3"/>
        <v>300</v>
      </c>
      <c r="Q13" s="6">
        <f t="shared" si="4"/>
        <v>2328</v>
      </c>
      <c r="R13" s="42" t="s">
        <v>23</v>
      </c>
    </row>
    <row r="14" spans="1:18" ht="15.95" customHeight="1" x14ac:dyDescent="0.2">
      <c r="A14" s="47"/>
      <c r="B14" s="55"/>
      <c r="C14" s="9"/>
      <c r="D14" s="55"/>
      <c r="E14" s="56"/>
      <c r="F14" s="57"/>
      <c r="G14" s="8">
        <v>46156</v>
      </c>
      <c r="H14" s="9">
        <v>25</v>
      </c>
      <c r="I14" s="9"/>
      <c r="J14" s="9">
        <v>10</v>
      </c>
      <c r="K14" s="9">
        <v>50</v>
      </c>
      <c r="L14" s="9">
        <v>25</v>
      </c>
      <c r="M14" s="9">
        <v>75</v>
      </c>
      <c r="N14" s="9">
        <v>75</v>
      </c>
      <c r="O14" s="9">
        <v>75</v>
      </c>
      <c r="P14" s="6">
        <f t="shared" ref="P14:P15" si="5">IF(G14="","",SUM(K14:O14))</f>
        <v>300</v>
      </c>
      <c r="Q14" s="6">
        <f t="shared" ref="Q14:Q15" si="6">IF(P14="","",Q13+P14)</f>
        <v>2628</v>
      </c>
      <c r="R14" s="42" t="s">
        <v>23</v>
      </c>
    </row>
    <row r="15" spans="1:18" ht="15.95" customHeight="1" x14ac:dyDescent="0.2">
      <c r="A15" s="47"/>
      <c r="B15" s="55"/>
      <c r="C15" s="9"/>
      <c r="D15" s="55"/>
      <c r="E15" s="56"/>
      <c r="F15" s="57"/>
      <c r="G15" s="8">
        <v>46156</v>
      </c>
      <c r="H15" s="9">
        <v>25</v>
      </c>
      <c r="I15" s="9"/>
      <c r="J15" s="9">
        <v>11</v>
      </c>
      <c r="K15" s="9">
        <v>50</v>
      </c>
      <c r="L15" s="9">
        <v>25</v>
      </c>
      <c r="M15" s="9">
        <v>75</v>
      </c>
      <c r="N15" s="9">
        <v>75</v>
      </c>
      <c r="O15" s="9">
        <v>75</v>
      </c>
      <c r="P15" s="6">
        <f t="shared" si="5"/>
        <v>300</v>
      </c>
      <c r="Q15" s="6">
        <f t="shared" si="6"/>
        <v>2928</v>
      </c>
      <c r="R15" s="42" t="s">
        <v>23</v>
      </c>
    </row>
    <row r="16" spans="1:18" ht="15.95" customHeight="1" x14ac:dyDescent="0.2">
      <c r="A16" s="47"/>
      <c r="B16" s="55"/>
      <c r="C16" s="9"/>
      <c r="D16" s="55"/>
      <c r="E16" s="56"/>
      <c r="F16" s="57"/>
      <c r="G16" s="8">
        <v>46158</v>
      </c>
      <c r="H16" s="9">
        <v>25</v>
      </c>
      <c r="I16" s="9"/>
      <c r="J16" s="9">
        <v>12</v>
      </c>
      <c r="K16" s="9">
        <v>50</v>
      </c>
      <c r="L16" s="9">
        <v>25</v>
      </c>
      <c r="M16" s="9">
        <v>75</v>
      </c>
      <c r="N16" s="9">
        <v>75</v>
      </c>
      <c r="O16" s="9">
        <v>75</v>
      </c>
      <c r="P16" s="6">
        <f t="shared" si="3"/>
        <v>300</v>
      </c>
      <c r="Q16" s="6">
        <f t="shared" si="4"/>
        <v>3228</v>
      </c>
      <c r="R16" s="42" t="s">
        <v>23</v>
      </c>
    </row>
    <row r="17" spans="1:18" ht="15.95" customHeight="1" x14ac:dyDescent="0.2">
      <c r="A17" s="47"/>
      <c r="B17" s="55"/>
      <c r="C17" s="9"/>
      <c r="D17" s="55"/>
      <c r="E17" s="56"/>
      <c r="F17" s="57"/>
      <c r="G17" s="8">
        <v>46158</v>
      </c>
      <c r="H17" s="9">
        <v>25</v>
      </c>
      <c r="I17" s="9"/>
      <c r="J17" s="9">
        <v>13</v>
      </c>
      <c r="K17" s="9">
        <v>50</v>
      </c>
      <c r="L17" s="9">
        <v>25</v>
      </c>
      <c r="M17" s="9">
        <v>75</v>
      </c>
      <c r="N17" s="9">
        <v>75</v>
      </c>
      <c r="O17" s="9">
        <v>75</v>
      </c>
      <c r="P17" s="6">
        <f t="shared" ref="P17" si="7">IF(G17="","",SUM(K17:O17))</f>
        <v>300</v>
      </c>
      <c r="Q17" s="6">
        <f t="shared" ref="Q17" si="8">IF(P17="","",Q16+P17)</f>
        <v>3528</v>
      </c>
      <c r="R17" s="42" t="s">
        <v>23</v>
      </c>
    </row>
    <row r="18" spans="1:18" ht="15.95" customHeight="1" x14ac:dyDescent="0.2">
      <c r="A18" s="47"/>
      <c r="B18" s="55"/>
      <c r="C18" s="9"/>
      <c r="D18" s="55"/>
      <c r="E18" s="56"/>
      <c r="F18" s="57"/>
      <c r="G18" s="8">
        <v>46159</v>
      </c>
      <c r="H18" s="9">
        <v>20</v>
      </c>
      <c r="I18" s="9"/>
      <c r="J18" s="9">
        <v>14</v>
      </c>
      <c r="K18" s="9">
        <v>40</v>
      </c>
      <c r="L18" s="9">
        <v>20</v>
      </c>
      <c r="M18" s="9">
        <v>60</v>
      </c>
      <c r="N18" s="9">
        <v>60</v>
      </c>
      <c r="O18" s="9">
        <v>60</v>
      </c>
      <c r="P18" s="6">
        <f t="shared" ref="P18:P19" si="9">IF(G18="","",SUM(K18:O18))</f>
        <v>240</v>
      </c>
      <c r="Q18" s="6">
        <f t="shared" ref="Q18:Q19" si="10">IF(P18="","",Q17+P18)</f>
        <v>3768</v>
      </c>
      <c r="R18" s="42" t="s">
        <v>23</v>
      </c>
    </row>
    <row r="19" spans="1:18" ht="15.95" customHeight="1" x14ac:dyDescent="0.2">
      <c r="A19" s="47"/>
      <c r="B19" s="55"/>
      <c r="C19" s="9"/>
      <c r="D19" s="55"/>
      <c r="E19" s="56"/>
      <c r="F19" s="57"/>
      <c r="G19" s="8">
        <v>46159</v>
      </c>
      <c r="H19" s="9">
        <v>25</v>
      </c>
      <c r="I19" s="9"/>
      <c r="J19" s="9">
        <v>15</v>
      </c>
      <c r="K19" s="9">
        <v>50</v>
      </c>
      <c r="L19" s="9">
        <v>25</v>
      </c>
      <c r="M19" s="9">
        <v>75</v>
      </c>
      <c r="N19" s="9">
        <v>75</v>
      </c>
      <c r="O19" s="9">
        <v>75</v>
      </c>
      <c r="P19" s="6">
        <f t="shared" si="9"/>
        <v>300</v>
      </c>
      <c r="Q19" s="6">
        <f t="shared" si="10"/>
        <v>4068</v>
      </c>
      <c r="R19" s="42" t="s">
        <v>23</v>
      </c>
    </row>
    <row r="20" spans="1:18" ht="15.95" customHeight="1" x14ac:dyDescent="0.2">
      <c r="A20" s="47"/>
      <c r="B20" s="55"/>
      <c r="C20" s="9"/>
      <c r="D20" s="55"/>
      <c r="E20" s="56"/>
      <c r="F20" s="57"/>
      <c r="G20" s="8">
        <v>46159</v>
      </c>
      <c r="H20" s="9">
        <v>25</v>
      </c>
      <c r="I20" s="9"/>
      <c r="J20" s="9">
        <v>16</v>
      </c>
      <c r="K20" s="9">
        <v>50</v>
      </c>
      <c r="L20" s="9">
        <v>25</v>
      </c>
      <c r="M20" s="9">
        <v>75</v>
      </c>
      <c r="N20" s="9">
        <v>75</v>
      </c>
      <c r="O20" s="9">
        <v>75</v>
      </c>
      <c r="P20" s="6">
        <f t="shared" ref="P20" si="11">IF(G20="","",SUM(K20:O20))</f>
        <v>300</v>
      </c>
      <c r="Q20" s="6">
        <f t="shared" ref="Q20" si="12">IF(P20="","",Q19+P20)</f>
        <v>4368</v>
      </c>
      <c r="R20" s="42" t="s">
        <v>23</v>
      </c>
    </row>
    <row r="21" spans="1:18" ht="15.95" customHeight="1" x14ac:dyDescent="0.2">
      <c r="A21" s="47"/>
      <c r="B21" s="55"/>
      <c r="C21" s="9"/>
      <c r="D21" s="55"/>
      <c r="E21" s="56"/>
      <c r="F21" s="57"/>
      <c r="G21" s="8">
        <v>46160</v>
      </c>
      <c r="H21" s="9">
        <v>25</v>
      </c>
      <c r="I21" s="9"/>
      <c r="J21" s="9">
        <v>17</v>
      </c>
      <c r="K21" s="9">
        <v>50</v>
      </c>
      <c r="L21" s="9">
        <v>25</v>
      </c>
      <c r="M21" s="9">
        <v>75</v>
      </c>
      <c r="N21" s="9">
        <v>75</v>
      </c>
      <c r="O21" s="9">
        <v>75</v>
      </c>
      <c r="P21" s="6">
        <f t="shared" ref="P21" si="13">IF(G21="","",SUM(K21:O21))</f>
        <v>300</v>
      </c>
      <c r="Q21" s="6">
        <f t="shared" ref="Q21" si="14">IF(P21="","",Q20+P21)</f>
        <v>4668</v>
      </c>
      <c r="R21" s="42" t="s">
        <v>23</v>
      </c>
    </row>
    <row r="22" spans="1:18" ht="15.95" customHeight="1" x14ac:dyDescent="0.2">
      <c r="A22" s="47"/>
      <c r="B22" s="55"/>
      <c r="C22" s="9"/>
      <c r="D22" s="55"/>
      <c r="E22" s="56"/>
      <c r="F22" s="57"/>
      <c r="G22" s="8">
        <v>46160</v>
      </c>
      <c r="H22" s="9">
        <v>25</v>
      </c>
      <c r="I22" s="9"/>
      <c r="J22" s="9">
        <v>18</v>
      </c>
      <c r="K22" s="9">
        <v>50</v>
      </c>
      <c r="L22" s="9">
        <v>25</v>
      </c>
      <c r="M22" s="9">
        <v>75</v>
      </c>
      <c r="N22" s="9">
        <v>75</v>
      </c>
      <c r="O22" s="9">
        <v>75</v>
      </c>
      <c r="P22" s="6">
        <f t="shared" ref="P22:P23" si="15">IF(G22="","",SUM(K22:O22))</f>
        <v>300</v>
      </c>
      <c r="Q22" s="6">
        <f t="shared" ref="Q22:Q23" si="16">IF(P22="","",Q21+P22)</f>
        <v>4968</v>
      </c>
      <c r="R22" s="42" t="s">
        <v>23</v>
      </c>
    </row>
    <row r="23" spans="1:18" ht="15.95" customHeight="1" x14ac:dyDescent="0.2">
      <c r="A23" s="47"/>
      <c r="B23" s="55"/>
      <c r="C23" s="9"/>
      <c r="D23" s="55"/>
      <c r="E23" s="56"/>
      <c r="F23" s="57"/>
      <c r="G23" s="8">
        <v>46160</v>
      </c>
      <c r="H23" s="9">
        <v>25</v>
      </c>
      <c r="I23" s="9"/>
      <c r="J23" s="9">
        <v>19</v>
      </c>
      <c r="K23" s="9">
        <v>50</v>
      </c>
      <c r="L23" s="9">
        <v>25</v>
      </c>
      <c r="M23" s="9">
        <v>75</v>
      </c>
      <c r="N23" s="9">
        <v>75</v>
      </c>
      <c r="O23" s="9">
        <v>75</v>
      </c>
      <c r="P23" s="6">
        <f t="shared" si="15"/>
        <v>300</v>
      </c>
      <c r="Q23" s="6">
        <f t="shared" si="16"/>
        <v>5268</v>
      </c>
      <c r="R23" s="42" t="s">
        <v>23</v>
      </c>
    </row>
    <row r="24" spans="1:18" ht="15.95" customHeight="1" x14ac:dyDescent="0.2">
      <c r="A24" s="47"/>
      <c r="B24" s="55"/>
      <c r="C24" s="9"/>
      <c r="D24" s="55"/>
      <c r="E24" s="56"/>
      <c r="F24" s="57"/>
      <c r="G24" s="8">
        <v>46160</v>
      </c>
      <c r="H24" s="9">
        <v>25</v>
      </c>
      <c r="I24" s="9"/>
      <c r="J24" s="9">
        <v>20</v>
      </c>
      <c r="K24" s="9">
        <v>50</v>
      </c>
      <c r="L24" s="9">
        <v>25</v>
      </c>
      <c r="M24" s="9">
        <v>75</v>
      </c>
      <c r="N24" s="9">
        <v>75</v>
      </c>
      <c r="O24" s="9">
        <v>75</v>
      </c>
      <c r="P24" s="6">
        <f t="shared" ref="P24:P25" si="17">IF(G24="","",SUM(K24:O24))</f>
        <v>300</v>
      </c>
      <c r="Q24" s="6">
        <f t="shared" ref="Q24:Q25" si="18">IF(P24="","",Q23+P24)</f>
        <v>5568</v>
      </c>
      <c r="R24" s="42" t="s">
        <v>23</v>
      </c>
    </row>
    <row r="25" spans="1:18" ht="15.95" customHeight="1" x14ac:dyDescent="0.2">
      <c r="A25" s="47"/>
      <c r="B25" s="55"/>
      <c r="C25" s="9"/>
      <c r="D25" s="55"/>
      <c r="E25" s="56"/>
      <c r="F25" s="57"/>
      <c r="G25" s="8">
        <v>46160</v>
      </c>
      <c r="H25" s="9">
        <v>25</v>
      </c>
      <c r="I25" s="9"/>
      <c r="J25" s="9">
        <v>21</v>
      </c>
      <c r="K25" s="9">
        <v>50</v>
      </c>
      <c r="L25" s="9">
        <v>25</v>
      </c>
      <c r="M25" s="9">
        <v>75</v>
      </c>
      <c r="N25" s="9">
        <v>75</v>
      </c>
      <c r="O25" s="9">
        <v>75</v>
      </c>
      <c r="P25" s="6">
        <f t="shared" si="17"/>
        <v>300</v>
      </c>
      <c r="Q25" s="6">
        <f t="shared" si="18"/>
        <v>5868</v>
      </c>
      <c r="R25" s="42" t="s">
        <v>23</v>
      </c>
    </row>
    <row r="26" spans="1:18" ht="15.95" customHeight="1" x14ac:dyDescent="0.2">
      <c r="A26" s="47"/>
      <c r="B26" s="55"/>
      <c r="C26" s="9"/>
      <c r="D26" s="55"/>
      <c r="E26" s="56"/>
      <c r="F26" s="57"/>
      <c r="G26" s="8">
        <v>46161</v>
      </c>
      <c r="H26" s="9">
        <v>25</v>
      </c>
      <c r="I26" s="9"/>
      <c r="J26" s="9">
        <v>22</v>
      </c>
      <c r="K26" s="9">
        <v>50</v>
      </c>
      <c r="L26" s="9">
        <v>25</v>
      </c>
      <c r="M26" s="9">
        <v>75</v>
      </c>
      <c r="N26" s="9">
        <v>75</v>
      </c>
      <c r="O26" s="9">
        <v>75</v>
      </c>
      <c r="P26" s="6">
        <f t="shared" ref="P26:P27" si="19">IF(G26="","",SUM(K26:O26))</f>
        <v>300</v>
      </c>
      <c r="Q26" s="6">
        <f t="shared" ref="Q26:Q27" si="20">IF(P26="","",Q25+P26)</f>
        <v>6168</v>
      </c>
      <c r="R26" s="42" t="s">
        <v>23</v>
      </c>
    </row>
    <row r="27" spans="1:18" ht="15.95" customHeight="1" x14ac:dyDescent="0.2">
      <c r="A27" s="47"/>
      <c r="B27" s="55"/>
      <c r="C27" s="9"/>
      <c r="D27" s="55"/>
      <c r="E27" s="56"/>
      <c r="F27" s="57"/>
      <c r="G27" s="8">
        <v>46161</v>
      </c>
      <c r="H27" s="9">
        <v>25</v>
      </c>
      <c r="I27" s="9"/>
      <c r="J27" s="9">
        <v>23</v>
      </c>
      <c r="K27" s="9">
        <v>50</v>
      </c>
      <c r="L27" s="9">
        <v>25</v>
      </c>
      <c r="M27" s="9">
        <v>75</v>
      </c>
      <c r="N27" s="9">
        <v>75</v>
      </c>
      <c r="O27" s="9">
        <v>75</v>
      </c>
      <c r="P27" s="6">
        <f t="shared" si="19"/>
        <v>300</v>
      </c>
      <c r="Q27" s="6">
        <f t="shared" si="20"/>
        <v>6468</v>
      </c>
      <c r="R27" s="42" t="s">
        <v>23</v>
      </c>
    </row>
    <row r="28" spans="1:18" ht="15.95" customHeight="1" x14ac:dyDescent="0.2">
      <c r="A28" s="47"/>
      <c r="B28" s="55"/>
      <c r="C28" s="9"/>
      <c r="D28" s="55"/>
      <c r="E28" s="56"/>
      <c r="F28" s="57"/>
      <c r="G28" s="8">
        <v>46161</v>
      </c>
      <c r="H28" s="9">
        <v>25</v>
      </c>
      <c r="I28" s="9"/>
      <c r="J28" s="9">
        <v>24</v>
      </c>
      <c r="K28" s="9">
        <v>50</v>
      </c>
      <c r="L28" s="9">
        <v>25</v>
      </c>
      <c r="M28" s="9">
        <v>75</v>
      </c>
      <c r="N28" s="9">
        <v>75</v>
      </c>
      <c r="O28" s="9">
        <v>75</v>
      </c>
      <c r="P28" s="6">
        <f t="shared" ref="P28:P29" si="21">IF(G28="","",SUM(K28:O28))</f>
        <v>300</v>
      </c>
      <c r="Q28" s="6">
        <f t="shared" ref="Q28:Q29" si="22">IF(P28="","",Q27+P28)</f>
        <v>6768</v>
      </c>
      <c r="R28" s="42" t="s">
        <v>23</v>
      </c>
    </row>
    <row r="29" spans="1:18" ht="15.95" customHeight="1" x14ac:dyDescent="0.2">
      <c r="A29" s="47"/>
      <c r="B29" s="55"/>
      <c r="C29" s="9"/>
      <c r="D29" s="55"/>
      <c r="E29" s="56"/>
      <c r="F29" s="57"/>
      <c r="G29" s="8">
        <v>46161</v>
      </c>
      <c r="H29" s="9">
        <v>25</v>
      </c>
      <c r="I29" s="9"/>
      <c r="J29" s="9">
        <v>25</v>
      </c>
      <c r="K29" s="9">
        <v>50</v>
      </c>
      <c r="L29" s="9">
        <v>25</v>
      </c>
      <c r="M29" s="9">
        <v>75</v>
      </c>
      <c r="N29" s="9">
        <v>75</v>
      </c>
      <c r="O29" s="9">
        <v>75</v>
      </c>
      <c r="P29" s="6">
        <f t="shared" si="21"/>
        <v>300</v>
      </c>
      <c r="Q29" s="6">
        <f t="shared" si="22"/>
        <v>7068</v>
      </c>
      <c r="R29" s="42" t="s">
        <v>23</v>
      </c>
    </row>
    <row r="30" spans="1:18" ht="15.95" customHeight="1" x14ac:dyDescent="0.2">
      <c r="A30" s="47"/>
      <c r="B30" s="55"/>
      <c r="C30" s="9"/>
      <c r="D30" s="55"/>
      <c r="E30" s="56"/>
      <c r="F30" s="57"/>
      <c r="G30" s="72">
        <v>46161</v>
      </c>
      <c r="H30" s="73">
        <v>25</v>
      </c>
      <c r="I30" s="73"/>
      <c r="J30" s="73">
        <v>26</v>
      </c>
      <c r="K30" s="73">
        <v>50</v>
      </c>
      <c r="L30" s="73">
        <v>25</v>
      </c>
      <c r="M30" s="73">
        <v>75</v>
      </c>
      <c r="N30" s="73">
        <v>75</v>
      </c>
      <c r="O30" s="73">
        <v>75</v>
      </c>
      <c r="P30" s="78">
        <f t="shared" ref="P30" si="23">IF(G30="","",SUM(K30:O30))</f>
        <v>300</v>
      </c>
      <c r="Q30" s="78">
        <f t="shared" ref="Q30" si="24">IF(P30="","",Q29+P30)</f>
        <v>7368</v>
      </c>
      <c r="R30" s="74" t="s">
        <v>23</v>
      </c>
    </row>
    <row r="31" spans="1:18" ht="15.95" customHeight="1" x14ac:dyDescent="0.2">
      <c r="A31" s="47"/>
      <c r="B31" s="55"/>
      <c r="C31" s="9"/>
      <c r="D31" s="55"/>
      <c r="E31" s="56"/>
      <c r="F31" s="57"/>
      <c r="G31" s="72">
        <v>46162</v>
      </c>
      <c r="H31" s="73">
        <v>25</v>
      </c>
      <c r="I31" s="73"/>
      <c r="J31" s="73">
        <v>27</v>
      </c>
      <c r="K31" s="73">
        <v>50</v>
      </c>
      <c r="L31" s="73">
        <v>25</v>
      </c>
      <c r="M31" s="73">
        <v>75</v>
      </c>
      <c r="N31" s="73">
        <v>75</v>
      </c>
      <c r="O31" s="73">
        <v>75</v>
      </c>
      <c r="P31" s="78">
        <f>IF(G31="","",SUM(K31:O31))</f>
        <v>300</v>
      </c>
      <c r="Q31" s="78">
        <f t="shared" ref="Q31:Q32" si="25">IF(P31="","",Q30+P31)</f>
        <v>7668</v>
      </c>
      <c r="R31" s="74" t="s">
        <v>23</v>
      </c>
    </row>
    <row r="32" spans="1:18" ht="15.95" customHeight="1" x14ac:dyDescent="0.2">
      <c r="A32" s="47"/>
      <c r="B32" s="55"/>
      <c r="C32" s="9"/>
      <c r="D32" s="55"/>
      <c r="E32" s="56"/>
      <c r="F32" s="57"/>
      <c r="G32" s="72">
        <v>46162</v>
      </c>
      <c r="H32" s="73">
        <v>21</v>
      </c>
      <c r="I32" s="73"/>
      <c r="J32" s="73">
        <v>28</v>
      </c>
      <c r="K32" s="73">
        <v>42</v>
      </c>
      <c r="L32" s="73">
        <v>21</v>
      </c>
      <c r="M32" s="73">
        <f>21*3</f>
        <v>63</v>
      </c>
      <c r="N32" s="73">
        <v>63</v>
      </c>
      <c r="O32" s="73">
        <v>63</v>
      </c>
      <c r="P32" s="78">
        <f t="shared" ref="P32:P33" si="26">IF(G32="","",SUM(K32:O32))</f>
        <v>252</v>
      </c>
      <c r="Q32" s="78">
        <f t="shared" si="25"/>
        <v>7920</v>
      </c>
      <c r="R32" s="74" t="s">
        <v>23</v>
      </c>
    </row>
    <row r="33" spans="1:18" ht="15.95" customHeight="1" thickBot="1" x14ac:dyDescent="0.25">
      <c r="A33" s="47"/>
      <c r="B33" s="55"/>
      <c r="C33" s="9"/>
      <c r="D33" s="55"/>
      <c r="E33" s="56"/>
      <c r="F33" s="57"/>
      <c r="G33" s="72"/>
      <c r="H33" s="73"/>
      <c r="I33" s="73"/>
      <c r="J33" s="73"/>
      <c r="K33" s="73"/>
      <c r="L33" s="73"/>
      <c r="M33" s="73"/>
      <c r="N33" s="73"/>
      <c r="O33" s="73"/>
      <c r="P33" s="78" t="str">
        <f t="shared" si="26"/>
        <v/>
      </c>
      <c r="Q33" s="78" t="str">
        <f>IF(P33="","",#REF!+P33)</f>
        <v/>
      </c>
      <c r="R33" s="74"/>
    </row>
    <row r="34" spans="1:18" ht="19.5" customHeight="1" thickBot="1" x14ac:dyDescent="0.25">
      <c r="A34" s="48"/>
      <c r="B34" s="58"/>
      <c r="C34" s="58"/>
      <c r="D34" s="58"/>
      <c r="E34" s="59"/>
      <c r="F34" s="58"/>
      <c r="G34" s="19"/>
      <c r="H34" s="20"/>
      <c r="I34" s="21"/>
      <c r="J34" s="22" t="s">
        <v>11</v>
      </c>
      <c r="K34" s="38">
        <f>SUM(K5:K33)</f>
        <v>1320</v>
      </c>
      <c r="L34" s="38">
        <f>SUM(L5:L33)</f>
        <v>660</v>
      </c>
      <c r="M34" s="38">
        <f>SUM(M5:M33)</f>
        <v>1980</v>
      </c>
      <c r="N34" s="38">
        <f>SUM(N5:N33)</f>
        <v>1980</v>
      </c>
      <c r="O34" s="38">
        <f>SUM(O5:O33)</f>
        <v>1980</v>
      </c>
      <c r="P34" s="38">
        <f>SUM(K34:O34)</f>
        <v>7920</v>
      </c>
      <c r="Q34" s="23"/>
      <c r="R34" s="82"/>
    </row>
    <row r="35" spans="1:18" ht="18.75" customHeight="1" thickBot="1" x14ac:dyDescent="0.25">
      <c r="A35" s="49"/>
      <c r="B35" s="60"/>
      <c r="C35" s="60"/>
      <c r="D35" s="60"/>
      <c r="E35" s="60"/>
      <c r="F35" s="60"/>
      <c r="G35" s="24"/>
      <c r="H35" s="24"/>
      <c r="I35" s="25"/>
      <c r="J35" s="26" t="s">
        <v>12</v>
      </c>
      <c r="K35" s="39">
        <f>IF(K3="","",K34-K3)</f>
        <v>14</v>
      </c>
      <c r="L35" s="39">
        <f>IF(L3="","",L34-L3)</f>
        <v>7</v>
      </c>
      <c r="M35" s="39">
        <f>IF(M3="","",M34-M3)</f>
        <v>21</v>
      </c>
      <c r="N35" s="39">
        <f>IF(N3="","",N34-N3)</f>
        <v>21</v>
      </c>
      <c r="O35" s="39">
        <f>IF(O3="","",O34-O3)</f>
        <v>21</v>
      </c>
      <c r="P35" s="39">
        <f>SUM(K35:O35)</f>
        <v>84</v>
      </c>
      <c r="Q35" s="27"/>
      <c r="R35" s="83"/>
    </row>
    <row r="36" spans="1:18" ht="15.75" customHeight="1" x14ac:dyDescent="0.2">
      <c r="I36"/>
      <c r="J36" s="70">
        <v>26</v>
      </c>
      <c r="K36" s="70">
        <f t="shared" ref="K36:P36" si="27">SUM(K5:K30)</f>
        <v>1228</v>
      </c>
      <c r="L36" s="70">
        <f t="shared" si="27"/>
        <v>614</v>
      </c>
      <c r="M36" s="70">
        <f t="shared" si="27"/>
        <v>1842</v>
      </c>
      <c r="N36" s="70">
        <f t="shared" si="27"/>
        <v>1842</v>
      </c>
      <c r="O36" s="70">
        <f t="shared" si="27"/>
        <v>1842</v>
      </c>
      <c r="P36" s="70">
        <f t="shared" si="27"/>
        <v>7368</v>
      </c>
      <c r="Q36" s="29"/>
    </row>
    <row r="37" spans="1:18" s="1" customFormat="1" ht="18.75" customHeight="1" thickBot="1" x14ac:dyDescent="0.35">
      <c r="A37" s="46"/>
      <c r="B37" s="41"/>
      <c r="C37" s="41"/>
      <c r="D37" s="41"/>
      <c r="E37" s="41"/>
      <c r="F37" s="41"/>
      <c r="I37" s="90" t="s">
        <v>26</v>
      </c>
      <c r="K37" s="30"/>
      <c r="L37" s="30"/>
      <c r="M37" s="30"/>
      <c r="N37" s="30"/>
      <c r="O37" s="30"/>
      <c r="P37" s="30"/>
      <c r="Q37" s="30"/>
      <c r="R37" s="81"/>
    </row>
    <row r="38" spans="1:18" s="2" customFormat="1" ht="27.75" customHeight="1" thickBot="1" x14ac:dyDescent="0.25">
      <c r="A38" s="91"/>
      <c r="B38" s="51"/>
      <c r="C38" s="51"/>
      <c r="D38" s="51"/>
      <c r="E38" s="52"/>
      <c r="F38" s="53"/>
      <c r="G38" s="15"/>
      <c r="H38" s="15"/>
      <c r="I38" s="15"/>
      <c r="J38" s="16" t="s">
        <v>16</v>
      </c>
      <c r="K38" s="17">
        <v>2828</v>
      </c>
      <c r="L38" s="17">
        <v>1414</v>
      </c>
      <c r="M38" s="17">
        <v>4242</v>
      </c>
      <c r="N38" s="17">
        <v>4242</v>
      </c>
      <c r="O38" s="17">
        <v>4242</v>
      </c>
      <c r="P38" s="18">
        <f>SUM(K38:O38)</f>
        <v>16968</v>
      </c>
      <c r="Q38" s="37"/>
      <c r="R38" s="76"/>
    </row>
    <row r="39" spans="1:18" s="13" customFormat="1" ht="31.5" customHeight="1" thickBot="1" x14ac:dyDescent="0.2">
      <c r="A39" s="44" t="s">
        <v>17</v>
      </c>
      <c r="B39" s="50" t="s">
        <v>13</v>
      </c>
      <c r="C39" s="50" t="s">
        <v>14</v>
      </c>
      <c r="D39" s="50" t="s">
        <v>9</v>
      </c>
      <c r="E39" s="50" t="s">
        <v>22</v>
      </c>
      <c r="F39" s="50" t="s">
        <v>8</v>
      </c>
      <c r="G39" s="10" t="s">
        <v>7</v>
      </c>
      <c r="H39" s="10" t="s">
        <v>5</v>
      </c>
      <c r="I39" s="10" t="s">
        <v>6</v>
      </c>
      <c r="J39" s="11" t="s">
        <v>4</v>
      </c>
      <c r="K39" s="14" t="s">
        <v>28</v>
      </c>
      <c r="L39" s="14" t="s">
        <v>29</v>
      </c>
      <c r="M39" s="14" t="s">
        <v>1</v>
      </c>
      <c r="N39" s="14" t="s">
        <v>24</v>
      </c>
      <c r="O39" s="14" t="s">
        <v>25</v>
      </c>
      <c r="P39" s="12" t="s">
        <v>10</v>
      </c>
      <c r="Q39" s="12" t="s">
        <v>3</v>
      </c>
      <c r="R39" s="85" t="s">
        <v>0</v>
      </c>
    </row>
    <row r="40" spans="1:18" s="3" customFormat="1" ht="15.95" customHeight="1" x14ac:dyDescent="0.2">
      <c r="A40" s="86" t="s">
        <v>32</v>
      </c>
      <c r="B40" s="87" t="s">
        <v>31</v>
      </c>
      <c r="C40" s="87">
        <v>14222</v>
      </c>
      <c r="D40" s="87" t="s">
        <v>36</v>
      </c>
      <c r="E40" s="88">
        <f>P38</f>
        <v>16968</v>
      </c>
      <c r="F40" s="89"/>
      <c r="G40" s="4">
        <v>46162</v>
      </c>
      <c r="H40" s="5">
        <v>25</v>
      </c>
      <c r="I40" s="5"/>
      <c r="J40" s="5">
        <v>29</v>
      </c>
      <c r="K40" s="5">
        <v>50</v>
      </c>
      <c r="L40" s="5">
        <v>25</v>
      </c>
      <c r="M40" s="5">
        <v>75</v>
      </c>
      <c r="N40" s="5">
        <v>75</v>
      </c>
      <c r="O40" s="5">
        <v>75</v>
      </c>
      <c r="P40" s="6">
        <f>IF(G40="","",SUM(K40:O40))</f>
        <v>300</v>
      </c>
      <c r="Q40" s="7">
        <f>IF(P40="","",P40)</f>
        <v>300</v>
      </c>
      <c r="R40" s="79" t="s">
        <v>23</v>
      </c>
    </row>
    <row r="41" spans="1:18" ht="15.95" customHeight="1" x14ac:dyDescent="0.2">
      <c r="A41" s="47" t="s">
        <v>37</v>
      </c>
      <c r="B41" s="55"/>
      <c r="C41" s="9"/>
      <c r="D41" s="55" t="s">
        <v>45</v>
      </c>
      <c r="E41" s="56"/>
      <c r="F41" s="57"/>
      <c r="G41" s="4">
        <v>46162</v>
      </c>
      <c r="H41" s="5">
        <v>25</v>
      </c>
      <c r="I41" s="5"/>
      <c r="J41" s="5">
        <v>30</v>
      </c>
      <c r="K41" s="5">
        <v>50</v>
      </c>
      <c r="L41" s="5">
        <v>25</v>
      </c>
      <c r="M41" s="5">
        <v>75</v>
      </c>
      <c r="N41" s="5">
        <v>75</v>
      </c>
      <c r="O41" s="5">
        <v>75</v>
      </c>
      <c r="P41" s="6">
        <f>IF(G41="","",SUM(K41:O41))</f>
        <v>300</v>
      </c>
      <c r="Q41" s="7">
        <f>IF(P41="","",P41+Q40)</f>
        <v>600</v>
      </c>
      <c r="R41" s="79" t="s">
        <v>23</v>
      </c>
    </row>
    <row r="42" spans="1:18" ht="15.95" customHeight="1" x14ac:dyDescent="0.2">
      <c r="A42" s="47"/>
      <c r="B42" s="55"/>
      <c r="C42" s="9"/>
      <c r="D42" s="9"/>
      <c r="E42" s="56"/>
      <c r="F42" s="57"/>
      <c r="G42" s="4">
        <v>46162</v>
      </c>
      <c r="H42" s="5">
        <v>25</v>
      </c>
      <c r="I42" s="5"/>
      <c r="J42" s="5">
        <v>31</v>
      </c>
      <c r="K42" s="5">
        <v>50</v>
      </c>
      <c r="L42" s="5">
        <v>25</v>
      </c>
      <c r="M42" s="5">
        <v>75</v>
      </c>
      <c r="N42" s="5">
        <v>75</v>
      </c>
      <c r="O42" s="5">
        <v>75</v>
      </c>
      <c r="P42" s="6">
        <f>IF(G42="","",SUM(K42:O42))</f>
        <v>300</v>
      </c>
      <c r="Q42" s="7">
        <f>IF(P42="","",P42+Q41)</f>
        <v>900</v>
      </c>
      <c r="R42" s="79" t="s">
        <v>23</v>
      </c>
    </row>
    <row r="43" spans="1:18" ht="15.95" customHeight="1" x14ac:dyDescent="0.2">
      <c r="A43" s="47"/>
      <c r="B43" s="55"/>
      <c r="C43" s="9"/>
      <c r="D43" s="55"/>
      <c r="E43" s="56"/>
      <c r="F43" s="57"/>
      <c r="G43" s="4">
        <v>46162</v>
      </c>
      <c r="H43" s="5">
        <v>25</v>
      </c>
      <c r="I43" s="5"/>
      <c r="J43" s="5">
        <v>32</v>
      </c>
      <c r="K43" s="5">
        <v>50</v>
      </c>
      <c r="L43" s="5">
        <v>25</v>
      </c>
      <c r="M43" s="5">
        <v>75</v>
      </c>
      <c r="N43" s="5">
        <v>75</v>
      </c>
      <c r="O43" s="5">
        <v>75</v>
      </c>
      <c r="P43" s="6">
        <f>IF(G43="","",SUM(K43:O43))</f>
        <v>300</v>
      </c>
      <c r="Q43" s="7">
        <f>IF(P43="","",P43+Q42)</f>
        <v>1200</v>
      </c>
      <c r="R43" s="79" t="s">
        <v>23</v>
      </c>
    </row>
    <row r="44" spans="1:18" ht="15.95" customHeight="1" x14ac:dyDescent="0.2">
      <c r="A44" s="47"/>
      <c r="B44" s="55"/>
      <c r="C44" s="9"/>
      <c r="D44" s="55"/>
      <c r="E44" s="56"/>
      <c r="F44" s="57"/>
      <c r="G44" s="4">
        <v>46163</v>
      </c>
      <c r="H44" s="5">
        <v>25</v>
      </c>
      <c r="I44" s="5"/>
      <c r="J44" s="5">
        <v>33</v>
      </c>
      <c r="K44" s="5">
        <v>50</v>
      </c>
      <c r="L44" s="5">
        <v>25</v>
      </c>
      <c r="M44" s="5">
        <v>75</v>
      </c>
      <c r="N44" s="5">
        <v>75</v>
      </c>
      <c r="O44" s="5">
        <v>75</v>
      </c>
      <c r="P44" s="6">
        <f>IF(G44="","",SUM(K44:O44))</f>
        <v>300</v>
      </c>
      <c r="Q44" s="7">
        <f>IF(P44="","",P44+Q43)</f>
        <v>1500</v>
      </c>
      <c r="R44" s="79" t="s">
        <v>23</v>
      </c>
    </row>
    <row r="45" spans="1:18" ht="15.95" customHeight="1" x14ac:dyDescent="0.2">
      <c r="A45" s="47"/>
      <c r="B45" s="55"/>
      <c r="C45" s="9"/>
      <c r="D45" s="55"/>
      <c r="E45" s="56"/>
      <c r="F45" s="57"/>
      <c r="G45" s="4">
        <v>46163</v>
      </c>
      <c r="H45" s="5">
        <v>25</v>
      </c>
      <c r="I45" s="5"/>
      <c r="J45" s="5">
        <v>34</v>
      </c>
      <c r="K45" s="5">
        <v>50</v>
      </c>
      <c r="L45" s="5">
        <v>25</v>
      </c>
      <c r="M45" s="5">
        <v>75</v>
      </c>
      <c r="N45" s="5">
        <v>75</v>
      </c>
      <c r="O45" s="5">
        <v>75</v>
      </c>
      <c r="P45" s="6">
        <f t="shared" ref="P45:P49" si="28">IF(G45="","",SUM(K45:O45))</f>
        <v>300</v>
      </c>
      <c r="Q45" s="7">
        <f t="shared" ref="Q45:Q49" si="29">IF(P45="","",P45+Q44)</f>
        <v>1800</v>
      </c>
      <c r="R45" s="79" t="s">
        <v>23</v>
      </c>
    </row>
    <row r="46" spans="1:18" ht="15.95" customHeight="1" x14ac:dyDescent="0.2">
      <c r="A46" s="47"/>
      <c r="B46" s="55"/>
      <c r="C46" s="9"/>
      <c r="D46" s="55"/>
      <c r="E46" s="56"/>
      <c r="F46" s="57"/>
      <c r="G46" s="4">
        <v>46163</v>
      </c>
      <c r="H46" s="5">
        <v>25</v>
      </c>
      <c r="I46" s="5"/>
      <c r="J46" s="5">
        <v>35</v>
      </c>
      <c r="K46" s="5">
        <v>50</v>
      </c>
      <c r="L46" s="5">
        <v>25</v>
      </c>
      <c r="M46" s="5">
        <v>75</v>
      </c>
      <c r="N46" s="5">
        <v>75</v>
      </c>
      <c r="O46" s="5">
        <v>75</v>
      </c>
      <c r="P46" s="6">
        <f t="shared" si="28"/>
        <v>300</v>
      </c>
      <c r="Q46" s="7">
        <f t="shared" si="29"/>
        <v>2100</v>
      </c>
      <c r="R46" s="79" t="s">
        <v>23</v>
      </c>
    </row>
    <row r="47" spans="1:18" ht="15.95" customHeight="1" x14ac:dyDescent="0.2">
      <c r="A47" s="47"/>
      <c r="B47" s="55"/>
      <c r="C47" s="9"/>
      <c r="D47" s="55"/>
      <c r="E47" s="56"/>
      <c r="F47" s="57"/>
      <c r="G47" s="4">
        <v>46163</v>
      </c>
      <c r="H47" s="5">
        <v>25</v>
      </c>
      <c r="I47" s="5"/>
      <c r="J47" s="5">
        <v>36</v>
      </c>
      <c r="K47" s="5">
        <v>50</v>
      </c>
      <c r="L47" s="5">
        <v>25</v>
      </c>
      <c r="M47" s="5">
        <v>75</v>
      </c>
      <c r="N47" s="5">
        <v>75</v>
      </c>
      <c r="O47" s="5">
        <v>75</v>
      </c>
      <c r="P47" s="6">
        <f t="shared" si="28"/>
        <v>300</v>
      </c>
      <c r="Q47" s="7">
        <f t="shared" si="29"/>
        <v>2400</v>
      </c>
      <c r="R47" s="79" t="s">
        <v>23</v>
      </c>
    </row>
    <row r="48" spans="1:18" ht="15.95" customHeight="1" x14ac:dyDescent="0.2">
      <c r="A48" s="47"/>
      <c r="B48" s="55"/>
      <c r="C48" s="9"/>
      <c r="D48" s="55"/>
      <c r="E48" s="56"/>
      <c r="F48" s="57"/>
      <c r="G48" s="126">
        <v>46165</v>
      </c>
      <c r="H48" s="127">
        <v>25</v>
      </c>
      <c r="I48" s="127"/>
      <c r="J48" s="127">
        <v>37</v>
      </c>
      <c r="K48" s="127">
        <v>50</v>
      </c>
      <c r="L48" s="127">
        <v>25</v>
      </c>
      <c r="M48" s="127">
        <v>75</v>
      </c>
      <c r="N48" s="127">
        <v>75</v>
      </c>
      <c r="O48" s="127">
        <v>75</v>
      </c>
      <c r="P48" s="78">
        <f t="shared" si="28"/>
        <v>300</v>
      </c>
      <c r="Q48" s="128">
        <f t="shared" si="29"/>
        <v>2700</v>
      </c>
      <c r="R48" s="79" t="s">
        <v>23</v>
      </c>
    </row>
    <row r="49" spans="1:18" ht="15.95" customHeight="1" x14ac:dyDescent="0.2">
      <c r="A49" s="47"/>
      <c r="B49" s="55"/>
      <c r="C49" s="9"/>
      <c r="D49" s="55"/>
      <c r="E49" s="56"/>
      <c r="F49" s="57"/>
      <c r="G49" s="126">
        <v>46165</v>
      </c>
      <c r="H49" s="127">
        <v>25</v>
      </c>
      <c r="I49" s="127"/>
      <c r="J49" s="127">
        <v>38</v>
      </c>
      <c r="K49" s="127">
        <v>50</v>
      </c>
      <c r="L49" s="127">
        <v>25</v>
      </c>
      <c r="M49" s="127">
        <v>75</v>
      </c>
      <c r="N49" s="127">
        <v>75</v>
      </c>
      <c r="O49" s="127">
        <v>75</v>
      </c>
      <c r="P49" s="78">
        <f t="shared" si="28"/>
        <v>300</v>
      </c>
      <c r="Q49" s="128">
        <f t="shared" si="29"/>
        <v>3000</v>
      </c>
      <c r="R49" s="79" t="s">
        <v>23</v>
      </c>
    </row>
    <row r="50" spans="1:18" ht="15.95" customHeight="1" x14ac:dyDescent="0.2">
      <c r="A50" s="47"/>
      <c r="B50" s="55"/>
      <c r="C50" s="9"/>
      <c r="D50" s="55"/>
      <c r="E50" s="56"/>
      <c r="F50" s="57"/>
      <c r="G50" s="126">
        <v>46165</v>
      </c>
      <c r="H50" s="127">
        <v>25</v>
      </c>
      <c r="I50" s="127"/>
      <c r="J50" s="127">
        <v>39</v>
      </c>
      <c r="K50" s="127">
        <v>50</v>
      </c>
      <c r="L50" s="127">
        <v>25</v>
      </c>
      <c r="M50" s="127">
        <v>75</v>
      </c>
      <c r="N50" s="127">
        <v>75</v>
      </c>
      <c r="O50" s="127">
        <v>75</v>
      </c>
      <c r="P50" s="78">
        <f t="shared" ref="P50" si="30">IF(G50="","",SUM(K50:O50))</f>
        <v>300</v>
      </c>
      <c r="Q50" s="128">
        <f t="shared" ref="Q50" si="31">IF(P50="","",P50+Q49)</f>
        <v>3300</v>
      </c>
      <c r="R50" s="79" t="s">
        <v>23</v>
      </c>
    </row>
    <row r="51" spans="1:18" ht="15.95" customHeight="1" x14ac:dyDescent="0.2">
      <c r="A51" s="47"/>
      <c r="B51" s="55"/>
      <c r="C51" s="9"/>
      <c r="D51" s="55"/>
      <c r="E51" s="56"/>
      <c r="F51" s="57"/>
      <c r="G51" s="126">
        <v>46165</v>
      </c>
      <c r="H51" s="127">
        <v>25</v>
      </c>
      <c r="I51" s="127"/>
      <c r="J51" s="127">
        <v>40</v>
      </c>
      <c r="K51" s="127">
        <f>25*2</f>
        <v>50</v>
      </c>
      <c r="L51" s="127">
        <v>25</v>
      </c>
      <c r="M51" s="127">
        <v>75</v>
      </c>
      <c r="N51" s="127">
        <v>75</v>
      </c>
      <c r="O51" s="127">
        <v>75</v>
      </c>
      <c r="P51" s="78">
        <f t="shared" ref="P51" si="32">IF(G51="","",SUM(K51:O51))</f>
        <v>300</v>
      </c>
      <c r="Q51" s="128">
        <f t="shared" ref="Q51" si="33">IF(P51="","",P51+Q50)</f>
        <v>3600</v>
      </c>
      <c r="R51" s="79" t="s">
        <v>23</v>
      </c>
    </row>
    <row r="52" spans="1:18" ht="15.95" customHeight="1" x14ac:dyDescent="0.2">
      <c r="A52" s="47"/>
      <c r="B52" s="55"/>
      <c r="C52" s="9"/>
      <c r="D52" s="55"/>
      <c r="E52" s="56"/>
      <c r="F52" s="57"/>
      <c r="G52" s="126">
        <v>46165</v>
      </c>
      <c r="H52" s="127">
        <v>25</v>
      </c>
      <c r="I52" s="127"/>
      <c r="J52" s="127">
        <v>41</v>
      </c>
      <c r="K52" s="127">
        <v>50</v>
      </c>
      <c r="L52" s="127">
        <v>25</v>
      </c>
      <c r="M52" s="127">
        <v>75</v>
      </c>
      <c r="N52" s="127">
        <v>75</v>
      </c>
      <c r="O52" s="127">
        <v>75</v>
      </c>
      <c r="P52" s="78">
        <f t="shared" ref="P52:P56" si="34">IF(G52="","",SUM(K52:O52))</f>
        <v>300</v>
      </c>
      <c r="Q52" s="128">
        <f t="shared" ref="Q52:Q56" si="35">IF(P52="","",P52+Q51)</f>
        <v>3900</v>
      </c>
      <c r="R52" s="79" t="s">
        <v>23</v>
      </c>
    </row>
    <row r="53" spans="1:18" ht="15.95" customHeight="1" x14ac:dyDescent="0.2">
      <c r="A53" s="47"/>
      <c r="B53" s="55"/>
      <c r="C53" s="9"/>
      <c r="D53" s="55"/>
      <c r="E53" s="56"/>
      <c r="F53" s="57"/>
      <c r="G53" s="126">
        <v>46165</v>
      </c>
      <c r="H53" s="127">
        <v>25</v>
      </c>
      <c r="I53" s="127"/>
      <c r="J53" s="127">
        <v>42</v>
      </c>
      <c r="K53" s="127">
        <f t="shared" ref="K53:K89" si="36">25*2</f>
        <v>50</v>
      </c>
      <c r="L53" s="127">
        <v>25</v>
      </c>
      <c r="M53" s="127">
        <v>75</v>
      </c>
      <c r="N53" s="127">
        <v>75</v>
      </c>
      <c r="O53" s="127">
        <v>75</v>
      </c>
      <c r="P53" s="78">
        <f t="shared" si="34"/>
        <v>300</v>
      </c>
      <c r="Q53" s="128">
        <f t="shared" si="35"/>
        <v>4200</v>
      </c>
      <c r="R53" s="79" t="s">
        <v>23</v>
      </c>
    </row>
    <row r="54" spans="1:18" ht="15.95" customHeight="1" x14ac:dyDescent="0.2">
      <c r="A54" s="47"/>
      <c r="B54" s="55"/>
      <c r="C54" s="9"/>
      <c r="D54" s="55"/>
      <c r="E54" s="56"/>
      <c r="F54" s="57"/>
      <c r="G54" s="126">
        <v>46165</v>
      </c>
      <c r="H54" s="127">
        <v>25</v>
      </c>
      <c r="I54" s="127"/>
      <c r="J54" s="127">
        <v>43</v>
      </c>
      <c r="K54" s="127">
        <v>50</v>
      </c>
      <c r="L54" s="127">
        <v>25</v>
      </c>
      <c r="M54" s="127">
        <v>75</v>
      </c>
      <c r="N54" s="127">
        <v>75</v>
      </c>
      <c r="O54" s="127">
        <v>75</v>
      </c>
      <c r="P54" s="78">
        <f t="shared" si="34"/>
        <v>300</v>
      </c>
      <c r="Q54" s="128">
        <f t="shared" si="35"/>
        <v>4500</v>
      </c>
      <c r="R54" s="79" t="s">
        <v>23</v>
      </c>
    </row>
    <row r="55" spans="1:18" ht="15.95" customHeight="1" x14ac:dyDescent="0.2">
      <c r="A55" s="47"/>
      <c r="B55" s="55"/>
      <c r="C55" s="9"/>
      <c r="D55" s="55"/>
      <c r="E55" s="56"/>
      <c r="F55" s="57"/>
      <c r="G55" s="126">
        <v>46165</v>
      </c>
      <c r="H55" s="127">
        <v>25</v>
      </c>
      <c r="I55" s="127"/>
      <c r="J55" s="127">
        <v>44</v>
      </c>
      <c r="K55" s="127">
        <f t="shared" si="36"/>
        <v>50</v>
      </c>
      <c r="L55" s="127">
        <v>25</v>
      </c>
      <c r="M55" s="127">
        <v>75</v>
      </c>
      <c r="N55" s="127">
        <v>75</v>
      </c>
      <c r="O55" s="127">
        <v>75</v>
      </c>
      <c r="P55" s="78">
        <f t="shared" si="34"/>
        <v>300</v>
      </c>
      <c r="Q55" s="128">
        <f t="shared" si="35"/>
        <v>4800</v>
      </c>
      <c r="R55" s="79" t="s">
        <v>23</v>
      </c>
    </row>
    <row r="56" spans="1:18" ht="15.95" customHeight="1" x14ac:dyDescent="0.2">
      <c r="A56" s="47"/>
      <c r="B56" s="55"/>
      <c r="C56" s="9"/>
      <c r="D56" s="55"/>
      <c r="E56" s="56"/>
      <c r="F56" s="57"/>
      <c r="G56" s="126">
        <v>46166</v>
      </c>
      <c r="H56" s="127">
        <v>25</v>
      </c>
      <c r="I56" s="127"/>
      <c r="J56" s="127">
        <v>45</v>
      </c>
      <c r="K56" s="127">
        <f t="shared" si="36"/>
        <v>50</v>
      </c>
      <c r="L56" s="127">
        <v>25</v>
      </c>
      <c r="M56" s="127">
        <v>75</v>
      </c>
      <c r="N56" s="127">
        <v>75</v>
      </c>
      <c r="O56" s="127">
        <v>75</v>
      </c>
      <c r="P56" s="78">
        <f t="shared" si="34"/>
        <v>300</v>
      </c>
      <c r="Q56" s="128">
        <f t="shared" si="35"/>
        <v>5100</v>
      </c>
      <c r="R56" s="79" t="s">
        <v>23</v>
      </c>
    </row>
    <row r="57" spans="1:18" ht="15.95" customHeight="1" x14ac:dyDescent="0.2">
      <c r="A57" s="47"/>
      <c r="B57" s="55"/>
      <c r="C57" s="9"/>
      <c r="D57" s="55"/>
      <c r="E57" s="56"/>
      <c r="F57" s="57"/>
      <c r="G57" s="126">
        <v>46166</v>
      </c>
      <c r="H57" s="127">
        <v>25</v>
      </c>
      <c r="I57" s="127"/>
      <c r="J57" s="127">
        <v>46</v>
      </c>
      <c r="K57" s="127">
        <f t="shared" si="36"/>
        <v>50</v>
      </c>
      <c r="L57" s="127">
        <v>25</v>
      </c>
      <c r="M57" s="127">
        <v>75</v>
      </c>
      <c r="N57" s="127">
        <v>75</v>
      </c>
      <c r="O57" s="127">
        <v>75</v>
      </c>
      <c r="P57" s="78">
        <f t="shared" ref="P57:P60" si="37">IF(G57="","",SUM(K57:O57))</f>
        <v>300</v>
      </c>
      <c r="Q57" s="128">
        <f t="shared" ref="Q57:Q60" si="38">IF(P57="","",P57+Q56)</f>
        <v>5400</v>
      </c>
      <c r="R57" s="79" t="s">
        <v>23</v>
      </c>
    </row>
    <row r="58" spans="1:18" ht="15.95" customHeight="1" x14ac:dyDescent="0.2">
      <c r="A58" s="47"/>
      <c r="B58" s="55"/>
      <c r="C58" s="9"/>
      <c r="D58" s="55"/>
      <c r="E58" s="56"/>
      <c r="F58" s="57"/>
      <c r="G58" s="126">
        <v>46166</v>
      </c>
      <c r="H58" s="127">
        <v>25</v>
      </c>
      <c r="I58" s="127"/>
      <c r="J58" s="127">
        <v>47</v>
      </c>
      <c r="K58" s="127">
        <f t="shared" si="36"/>
        <v>50</v>
      </c>
      <c r="L58" s="127">
        <v>25</v>
      </c>
      <c r="M58" s="127">
        <v>75</v>
      </c>
      <c r="N58" s="127">
        <v>75</v>
      </c>
      <c r="O58" s="127">
        <v>75</v>
      </c>
      <c r="P58" s="78">
        <f t="shared" si="37"/>
        <v>300</v>
      </c>
      <c r="Q58" s="128">
        <f t="shared" si="38"/>
        <v>5700</v>
      </c>
      <c r="R58" s="79" t="s">
        <v>23</v>
      </c>
    </row>
    <row r="59" spans="1:18" ht="15.95" customHeight="1" x14ac:dyDescent="0.2">
      <c r="A59" s="47"/>
      <c r="B59" s="55"/>
      <c r="C59" s="9"/>
      <c r="D59" s="55"/>
      <c r="E59" s="56"/>
      <c r="F59" s="57"/>
      <c r="G59" s="126">
        <v>46166</v>
      </c>
      <c r="H59" s="127">
        <v>25</v>
      </c>
      <c r="I59" s="127"/>
      <c r="J59" s="127">
        <v>48</v>
      </c>
      <c r="K59" s="127">
        <f t="shared" si="36"/>
        <v>50</v>
      </c>
      <c r="L59" s="127">
        <v>25</v>
      </c>
      <c r="M59" s="127">
        <v>75</v>
      </c>
      <c r="N59" s="127">
        <v>75</v>
      </c>
      <c r="O59" s="127">
        <v>75</v>
      </c>
      <c r="P59" s="78">
        <f t="shared" si="37"/>
        <v>300</v>
      </c>
      <c r="Q59" s="128">
        <f t="shared" si="38"/>
        <v>6000</v>
      </c>
      <c r="R59" s="79" t="s">
        <v>23</v>
      </c>
    </row>
    <row r="60" spans="1:18" ht="15.95" customHeight="1" x14ac:dyDescent="0.2">
      <c r="A60" s="47"/>
      <c r="B60" s="55"/>
      <c r="C60" s="9"/>
      <c r="D60" s="55"/>
      <c r="E60" s="56"/>
      <c r="F60" s="57"/>
      <c r="G60" s="126">
        <v>46166</v>
      </c>
      <c r="H60" s="127">
        <v>25</v>
      </c>
      <c r="I60" s="127"/>
      <c r="J60" s="127">
        <v>49</v>
      </c>
      <c r="K60" s="127">
        <f t="shared" si="36"/>
        <v>50</v>
      </c>
      <c r="L60" s="127">
        <v>25</v>
      </c>
      <c r="M60" s="127">
        <v>75</v>
      </c>
      <c r="N60" s="127">
        <v>75</v>
      </c>
      <c r="O60" s="127">
        <v>75</v>
      </c>
      <c r="P60" s="78">
        <f t="shared" si="37"/>
        <v>300</v>
      </c>
      <c r="Q60" s="128">
        <f t="shared" si="38"/>
        <v>6300</v>
      </c>
      <c r="R60" s="79" t="s">
        <v>23</v>
      </c>
    </row>
    <row r="61" spans="1:18" ht="15.95" customHeight="1" x14ac:dyDescent="0.2">
      <c r="A61" s="47"/>
      <c r="B61" s="55"/>
      <c r="C61" s="9"/>
      <c r="D61" s="55"/>
      <c r="E61" s="56"/>
      <c r="F61" s="57"/>
      <c r="G61" s="126">
        <v>46166</v>
      </c>
      <c r="H61" s="127">
        <v>25</v>
      </c>
      <c r="I61" s="127"/>
      <c r="J61" s="127">
        <v>50</v>
      </c>
      <c r="K61" s="127">
        <f t="shared" si="36"/>
        <v>50</v>
      </c>
      <c r="L61" s="127">
        <v>25</v>
      </c>
      <c r="M61" s="127">
        <v>75</v>
      </c>
      <c r="N61" s="127">
        <v>75</v>
      </c>
      <c r="O61" s="127">
        <v>75</v>
      </c>
      <c r="P61" s="78">
        <f t="shared" ref="P61:P62" si="39">IF(G61="","",SUM(K61:O61))</f>
        <v>300</v>
      </c>
      <c r="Q61" s="128">
        <f t="shared" ref="Q61:Q62" si="40">IF(P61="","",P61+Q60)</f>
        <v>6600</v>
      </c>
      <c r="R61" s="79" t="s">
        <v>23</v>
      </c>
    </row>
    <row r="62" spans="1:18" ht="15.95" customHeight="1" x14ac:dyDescent="0.2">
      <c r="A62" s="47"/>
      <c r="B62" s="55"/>
      <c r="C62" s="9"/>
      <c r="D62" s="55"/>
      <c r="E62" s="56"/>
      <c r="F62" s="57"/>
      <c r="G62" s="126">
        <v>46166</v>
      </c>
      <c r="H62" s="127">
        <v>25</v>
      </c>
      <c r="I62" s="127"/>
      <c r="J62" s="127">
        <v>51</v>
      </c>
      <c r="K62" s="127">
        <f t="shared" si="36"/>
        <v>50</v>
      </c>
      <c r="L62" s="127">
        <v>25</v>
      </c>
      <c r="M62" s="127">
        <v>75</v>
      </c>
      <c r="N62" s="127">
        <v>75</v>
      </c>
      <c r="O62" s="127">
        <v>75</v>
      </c>
      <c r="P62" s="78">
        <f t="shared" si="39"/>
        <v>300</v>
      </c>
      <c r="Q62" s="128">
        <f t="shared" si="40"/>
        <v>6900</v>
      </c>
      <c r="R62" s="79" t="s">
        <v>23</v>
      </c>
    </row>
    <row r="63" spans="1:18" ht="15.95" customHeight="1" x14ac:dyDescent="0.2">
      <c r="A63" s="47"/>
      <c r="B63" s="55"/>
      <c r="C63" s="9"/>
      <c r="D63" s="55"/>
      <c r="E63" s="56"/>
      <c r="F63" s="57"/>
      <c r="G63" s="126">
        <v>46166</v>
      </c>
      <c r="H63" s="127">
        <v>25</v>
      </c>
      <c r="I63" s="127"/>
      <c r="J63" s="127">
        <v>52</v>
      </c>
      <c r="K63" s="127">
        <f t="shared" si="36"/>
        <v>50</v>
      </c>
      <c r="L63" s="127">
        <v>25</v>
      </c>
      <c r="M63" s="127">
        <v>75</v>
      </c>
      <c r="N63" s="127">
        <v>75</v>
      </c>
      <c r="O63" s="127">
        <v>75</v>
      </c>
      <c r="P63" s="78">
        <f t="shared" ref="P63:P64" si="41">IF(G63="","",SUM(K63:O63))</f>
        <v>300</v>
      </c>
      <c r="Q63" s="128">
        <f t="shared" ref="Q63:Q64" si="42">IF(P63="","",P63+Q62)</f>
        <v>7200</v>
      </c>
      <c r="R63" s="79" t="s">
        <v>23</v>
      </c>
    </row>
    <row r="64" spans="1:18" ht="15.95" customHeight="1" x14ac:dyDescent="0.2">
      <c r="A64" s="47"/>
      <c r="B64" s="55"/>
      <c r="C64" s="9"/>
      <c r="D64" s="55"/>
      <c r="E64" s="56"/>
      <c r="F64" s="57"/>
      <c r="G64" s="126">
        <v>46166</v>
      </c>
      <c r="H64" s="127">
        <v>25</v>
      </c>
      <c r="I64" s="127"/>
      <c r="J64" s="127">
        <v>53</v>
      </c>
      <c r="K64" s="127">
        <f t="shared" si="36"/>
        <v>50</v>
      </c>
      <c r="L64" s="127">
        <v>25</v>
      </c>
      <c r="M64" s="127">
        <v>75</v>
      </c>
      <c r="N64" s="127">
        <v>75</v>
      </c>
      <c r="O64" s="127">
        <v>75</v>
      </c>
      <c r="P64" s="78">
        <f t="shared" si="41"/>
        <v>300</v>
      </c>
      <c r="Q64" s="128">
        <f t="shared" si="42"/>
        <v>7500</v>
      </c>
      <c r="R64" s="79" t="s">
        <v>23</v>
      </c>
    </row>
    <row r="65" spans="1:18" ht="15.95" customHeight="1" x14ac:dyDescent="0.2">
      <c r="A65" s="47"/>
      <c r="B65" s="55"/>
      <c r="C65" s="9"/>
      <c r="D65" s="55"/>
      <c r="E65" s="56"/>
      <c r="F65" s="57"/>
      <c r="G65" s="126">
        <v>46166</v>
      </c>
      <c r="H65" s="127">
        <v>25</v>
      </c>
      <c r="I65" s="127"/>
      <c r="J65" s="127">
        <v>54</v>
      </c>
      <c r="K65" s="127">
        <f t="shared" si="36"/>
        <v>50</v>
      </c>
      <c r="L65" s="127">
        <v>25</v>
      </c>
      <c r="M65" s="127">
        <v>75</v>
      </c>
      <c r="N65" s="127">
        <v>75</v>
      </c>
      <c r="O65" s="127">
        <v>75</v>
      </c>
      <c r="P65" s="78">
        <f t="shared" ref="P65:P66" si="43">IF(G65="","",SUM(K65:O65))</f>
        <v>300</v>
      </c>
      <c r="Q65" s="128">
        <f>IF(P65="","",P65+Q64)</f>
        <v>7800</v>
      </c>
      <c r="R65" s="79" t="s">
        <v>23</v>
      </c>
    </row>
    <row r="66" spans="1:18" ht="15.95" customHeight="1" x14ac:dyDescent="0.2">
      <c r="A66" s="47"/>
      <c r="B66" s="55"/>
      <c r="C66" s="9"/>
      <c r="D66" s="55"/>
      <c r="E66" s="56"/>
      <c r="F66" s="57"/>
      <c r="G66" s="126">
        <v>46167</v>
      </c>
      <c r="H66" s="127">
        <v>25</v>
      </c>
      <c r="I66" s="127"/>
      <c r="J66" s="127">
        <v>55</v>
      </c>
      <c r="K66" s="127">
        <f t="shared" si="36"/>
        <v>50</v>
      </c>
      <c r="L66" s="127">
        <v>25</v>
      </c>
      <c r="M66" s="127">
        <v>75</v>
      </c>
      <c r="N66" s="127">
        <v>75</v>
      </c>
      <c r="O66" s="127">
        <v>75</v>
      </c>
      <c r="P66" s="78">
        <f t="shared" si="43"/>
        <v>300</v>
      </c>
      <c r="Q66" s="128">
        <f t="shared" ref="Q66:Q68" si="44">IF(P66="","",P66+Q65)</f>
        <v>8100</v>
      </c>
      <c r="R66" s="79" t="s">
        <v>23</v>
      </c>
    </row>
    <row r="67" spans="1:18" ht="15.95" customHeight="1" x14ac:dyDescent="0.2">
      <c r="A67" s="47"/>
      <c r="B67" s="55"/>
      <c r="C67" s="9"/>
      <c r="D67" s="55"/>
      <c r="E67" s="56"/>
      <c r="F67" s="57"/>
      <c r="G67" s="126">
        <v>46167</v>
      </c>
      <c r="H67" s="127">
        <v>25</v>
      </c>
      <c r="I67" s="127"/>
      <c r="J67" s="127">
        <v>56</v>
      </c>
      <c r="K67" s="127">
        <f t="shared" si="36"/>
        <v>50</v>
      </c>
      <c r="L67" s="127">
        <v>25</v>
      </c>
      <c r="M67" s="127">
        <v>75</v>
      </c>
      <c r="N67" s="127">
        <v>75</v>
      </c>
      <c r="O67" s="127">
        <v>75</v>
      </c>
      <c r="P67" s="78">
        <f t="shared" ref="P67:P68" si="45">IF(G67="","",SUM(K67:O67))</f>
        <v>300</v>
      </c>
      <c r="Q67" s="128">
        <f t="shared" si="44"/>
        <v>8400</v>
      </c>
      <c r="R67" s="79" t="s">
        <v>23</v>
      </c>
    </row>
    <row r="68" spans="1:18" ht="15.95" customHeight="1" x14ac:dyDescent="0.2">
      <c r="A68" s="47"/>
      <c r="B68" s="55"/>
      <c r="C68" s="9"/>
      <c r="D68" s="55"/>
      <c r="E68" s="56"/>
      <c r="F68" s="57"/>
      <c r="G68" s="126">
        <v>46167</v>
      </c>
      <c r="H68" s="127">
        <v>25</v>
      </c>
      <c r="I68" s="127"/>
      <c r="J68" s="127">
        <v>57</v>
      </c>
      <c r="K68" s="127">
        <f t="shared" si="36"/>
        <v>50</v>
      </c>
      <c r="L68" s="127">
        <v>25</v>
      </c>
      <c r="M68" s="127">
        <v>75</v>
      </c>
      <c r="N68" s="127">
        <v>75</v>
      </c>
      <c r="O68" s="127">
        <v>75</v>
      </c>
      <c r="P68" s="78">
        <f t="shared" si="45"/>
        <v>300</v>
      </c>
      <c r="Q68" s="128">
        <f t="shared" si="44"/>
        <v>8700</v>
      </c>
      <c r="R68" s="79" t="s">
        <v>23</v>
      </c>
    </row>
    <row r="69" spans="1:18" ht="15.95" customHeight="1" x14ac:dyDescent="0.2">
      <c r="A69" s="47"/>
      <c r="B69" s="55"/>
      <c r="C69" s="9"/>
      <c r="D69" s="55"/>
      <c r="E69" s="56"/>
      <c r="F69" s="57"/>
      <c r="G69" s="126">
        <v>46167</v>
      </c>
      <c r="H69" s="127">
        <v>25</v>
      </c>
      <c r="I69" s="127"/>
      <c r="J69" s="127">
        <v>58</v>
      </c>
      <c r="K69" s="127">
        <f t="shared" si="36"/>
        <v>50</v>
      </c>
      <c r="L69" s="127">
        <v>25</v>
      </c>
      <c r="M69" s="127">
        <v>75</v>
      </c>
      <c r="N69" s="127">
        <v>75</v>
      </c>
      <c r="O69" s="127">
        <v>75</v>
      </c>
      <c r="P69" s="78">
        <f t="shared" ref="P69" si="46">IF(G69="","",SUM(K69:O69))</f>
        <v>300</v>
      </c>
      <c r="Q69" s="128">
        <f t="shared" ref="Q69" si="47">IF(P69="","",P69+Q68)</f>
        <v>9000</v>
      </c>
      <c r="R69" s="79" t="s">
        <v>23</v>
      </c>
    </row>
    <row r="70" spans="1:18" ht="15.95" customHeight="1" x14ac:dyDescent="0.2">
      <c r="A70" s="47"/>
      <c r="B70" s="55"/>
      <c r="C70" s="9"/>
      <c r="D70" s="55"/>
      <c r="E70" s="56"/>
      <c r="F70" s="57"/>
      <c r="G70" s="126">
        <v>46167</v>
      </c>
      <c r="H70" s="127">
        <v>21</v>
      </c>
      <c r="I70" s="127"/>
      <c r="J70" s="127">
        <v>59</v>
      </c>
      <c r="K70" s="127">
        <v>42</v>
      </c>
      <c r="L70" s="127">
        <v>21</v>
      </c>
      <c r="M70" s="127">
        <f>21*3</f>
        <v>63</v>
      </c>
      <c r="N70" s="127">
        <f t="shared" ref="N70:O70" si="48">21*3</f>
        <v>63</v>
      </c>
      <c r="O70" s="127">
        <f t="shared" si="48"/>
        <v>63</v>
      </c>
      <c r="P70" s="78">
        <f t="shared" ref="P70:P72" si="49">IF(G70="","",SUM(K70:O70))</f>
        <v>252</v>
      </c>
      <c r="Q70" s="128">
        <f t="shared" ref="Q70:Q72" si="50">IF(P70="","",P70+Q69)</f>
        <v>9252</v>
      </c>
      <c r="R70" s="79" t="s">
        <v>23</v>
      </c>
    </row>
    <row r="71" spans="1:18" ht="15.95" customHeight="1" x14ac:dyDescent="0.2">
      <c r="A71" s="47"/>
      <c r="B71" s="55"/>
      <c r="C71" s="9"/>
      <c r="D71" s="55"/>
      <c r="E71" s="56"/>
      <c r="F71" s="57"/>
      <c r="G71" s="126">
        <v>46168</v>
      </c>
      <c r="H71" s="127">
        <v>25</v>
      </c>
      <c r="I71" s="127"/>
      <c r="J71" s="127">
        <v>60</v>
      </c>
      <c r="K71" s="127">
        <f t="shared" si="36"/>
        <v>50</v>
      </c>
      <c r="L71" s="127">
        <v>25</v>
      </c>
      <c r="M71" s="127">
        <v>75</v>
      </c>
      <c r="N71" s="127">
        <v>75</v>
      </c>
      <c r="O71" s="127">
        <v>75</v>
      </c>
      <c r="P71" s="78">
        <f t="shared" si="49"/>
        <v>300</v>
      </c>
      <c r="Q71" s="128">
        <f t="shared" si="50"/>
        <v>9552</v>
      </c>
      <c r="R71" s="79" t="s">
        <v>23</v>
      </c>
    </row>
    <row r="72" spans="1:18" ht="15.95" customHeight="1" x14ac:dyDescent="0.2">
      <c r="A72" s="47"/>
      <c r="B72" s="55"/>
      <c r="C72" s="9"/>
      <c r="D72" s="55"/>
      <c r="E72" s="56"/>
      <c r="F72" s="57"/>
      <c r="G72" s="126">
        <v>46168</v>
      </c>
      <c r="H72" s="127">
        <v>25</v>
      </c>
      <c r="I72" s="127"/>
      <c r="J72" s="127">
        <v>61</v>
      </c>
      <c r="K72" s="127">
        <f t="shared" si="36"/>
        <v>50</v>
      </c>
      <c r="L72" s="127">
        <v>25</v>
      </c>
      <c r="M72" s="127">
        <v>75</v>
      </c>
      <c r="N72" s="127">
        <v>75</v>
      </c>
      <c r="O72" s="127">
        <v>75</v>
      </c>
      <c r="P72" s="78">
        <f t="shared" si="49"/>
        <v>300</v>
      </c>
      <c r="Q72" s="128">
        <f t="shared" si="50"/>
        <v>9852</v>
      </c>
      <c r="R72" s="79" t="s">
        <v>23</v>
      </c>
    </row>
    <row r="73" spans="1:18" ht="15.95" customHeight="1" x14ac:dyDescent="0.2">
      <c r="A73" s="47"/>
      <c r="B73" s="55"/>
      <c r="C73" s="9"/>
      <c r="D73" s="55"/>
      <c r="E73" s="56"/>
      <c r="F73" s="57"/>
      <c r="G73" s="126">
        <v>46168</v>
      </c>
      <c r="H73" s="127">
        <v>25</v>
      </c>
      <c r="I73" s="127"/>
      <c r="J73" s="127">
        <v>62</v>
      </c>
      <c r="K73" s="127">
        <f t="shared" si="36"/>
        <v>50</v>
      </c>
      <c r="L73" s="127">
        <v>25</v>
      </c>
      <c r="M73" s="127">
        <v>75</v>
      </c>
      <c r="N73" s="127">
        <v>75</v>
      </c>
      <c r="O73" s="127">
        <v>75</v>
      </c>
      <c r="P73" s="78">
        <f t="shared" ref="P73" si="51">IF(G73="","",SUM(K73:O73))</f>
        <v>300</v>
      </c>
      <c r="Q73" s="128">
        <f t="shared" ref="Q73" si="52">IF(P73="","",P73+Q72)</f>
        <v>10152</v>
      </c>
      <c r="R73" s="79" t="s">
        <v>23</v>
      </c>
    </row>
    <row r="74" spans="1:18" ht="15.95" customHeight="1" x14ac:dyDescent="0.2">
      <c r="A74" s="47"/>
      <c r="B74" s="55"/>
      <c r="C74" s="9"/>
      <c r="D74" s="55"/>
      <c r="E74" s="56"/>
      <c r="F74" s="57"/>
      <c r="G74" s="126">
        <v>46168</v>
      </c>
      <c r="H74" s="127">
        <v>25</v>
      </c>
      <c r="I74" s="127"/>
      <c r="J74" s="127">
        <v>63</v>
      </c>
      <c r="K74" s="127">
        <f t="shared" si="36"/>
        <v>50</v>
      </c>
      <c r="L74" s="127">
        <v>25</v>
      </c>
      <c r="M74" s="127">
        <v>75</v>
      </c>
      <c r="N74" s="127">
        <v>75</v>
      </c>
      <c r="O74" s="127">
        <v>75</v>
      </c>
      <c r="P74" s="78">
        <f t="shared" ref="P74:P77" si="53">IF(G74="","",SUM(K74:O74))</f>
        <v>300</v>
      </c>
      <c r="Q74" s="128">
        <f t="shared" ref="Q74:Q77" si="54">IF(P74="","",P74+Q73)</f>
        <v>10452</v>
      </c>
      <c r="R74" s="79" t="s">
        <v>23</v>
      </c>
    </row>
    <row r="75" spans="1:18" ht="15.95" customHeight="1" x14ac:dyDescent="0.2">
      <c r="A75" s="47"/>
      <c r="B75" s="55"/>
      <c r="C75" s="9"/>
      <c r="D75" s="55"/>
      <c r="E75" s="56"/>
      <c r="F75" s="57"/>
      <c r="G75" s="126">
        <v>46168</v>
      </c>
      <c r="H75" s="127">
        <v>25</v>
      </c>
      <c r="I75" s="127"/>
      <c r="J75" s="127">
        <v>64</v>
      </c>
      <c r="K75" s="127">
        <f t="shared" si="36"/>
        <v>50</v>
      </c>
      <c r="L75" s="127">
        <v>25</v>
      </c>
      <c r="M75" s="127">
        <v>75</v>
      </c>
      <c r="N75" s="127">
        <v>75</v>
      </c>
      <c r="O75" s="127">
        <v>75</v>
      </c>
      <c r="P75" s="78">
        <f t="shared" si="53"/>
        <v>300</v>
      </c>
      <c r="Q75" s="128">
        <f t="shared" si="54"/>
        <v>10752</v>
      </c>
      <c r="R75" s="79" t="s">
        <v>23</v>
      </c>
    </row>
    <row r="76" spans="1:18" ht="15.95" customHeight="1" x14ac:dyDescent="0.2">
      <c r="A76" s="47"/>
      <c r="B76" s="55"/>
      <c r="C76" s="9"/>
      <c r="D76" s="55"/>
      <c r="E76" s="56"/>
      <c r="F76" s="57"/>
      <c r="G76" s="126">
        <v>46179</v>
      </c>
      <c r="H76" s="127">
        <v>25</v>
      </c>
      <c r="I76" s="127"/>
      <c r="J76" s="127">
        <v>65</v>
      </c>
      <c r="K76" s="127">
        <f t="shared" si="36"/>
        <v>50</v>
      </c>
      <c r="L76" s="127">
        <v>25</v>
      </c>
      <c r="M76" s="127">
        <v>75</v>
      </c>
      <c r="N76" s="127">
        <v>75</v>
      </c>
      <c r="O76" s="127">
        <v>75</v>
      </c>
      <c r="P76" s="78">
        <f t="shared" si="53"/>
        <v>300</v>
      </c>
      <c r="Q76" s="128">
        <f t="shared" si="54"/>
        <v>11052</v>
      </c>
      <c r="R76" s="79" t="s">
        <v>23</v>
      </c>
    </row>
    <row r="77" spans="1:18" ht="15.95" customHeight="1" x14ac:dyDescent="0.2">
      <c r="A77" s="47"/>
      <c r="B77" s="55"/>
      <c r="C77" s="9"/>
      <c r="D77" s="55"/>
      <c r="E77" s="56"/>
      <c r="F77" s="57"/>
      <c r="G77" s="126">
        <v>46179</v>
      </c>
      <c r="H77" s="127">
        <v>25</v>
      </c>
      <c r="I77" s="127"/>
      <c r="J77" s="127">
        <v>66</v>
      </c>
      <c r="K77" s="127">
        <f t="shared" si="36"/>
        <v>50</v>
      </c>
      <c r="L77" s="127">
        <v>25</v>
      </c>
      <c r="M77" s="127">
        <v>75</v>
      </c>
      <c r="N77" s="127">
        <v>75</v>
      </c>
      <c r="O77" s="127">
        <v>75</v>
      </c>
      <c r="P77" s="78">
        <f t="shared" si="53"/>
        <v>300</v>
      </c>
      <c r="Q77" s="128">
        <f t="shared" si="54"/>
        <v>11352</v>
      </c>
      <c r="R77" s="79" t="s">
        <v>23</v>
      </c>
    </row>
    <row r="78" spans="1:18" ht="15.95" customHeight="1" x14ac:dyDescent="0.2">
      <c r="A78" s="47"/>
      <c r="B78" s="55"/>
      <c r="C78" s="9"/>
      <c r="D78" s="55"/>
      <c r="E78" s="56"/>
      <c r="F78" s="57"/>
      <c r="G78" s="126">
        <v>46179</v>
      </c>
      <c r="H78" s="127">
        <v>25</v>
      </c>
      <c r="I78" s="127"/>
      <c r="J78" s="127">
        <v>67</v>
      </c>
      <c r="K78" s="127">
        <f t="shared" si="36"/>
        <v>50</v>
      </c>
      <c r="L78" s="127">
        <v>25</v>
      </c>
      <c r="M78" s="127">
        <v>75</v>
      </c>
      <c r="N78" s="127">
        <v>75</v>
      </c>
      <c r="O78" s="127">
        <v>75</v>
      </c>
      <c r="P78" s="78">
        <f t="shared" ref="P78:P80" si="55">IF(G78="","",SUM(K78:O78))</f>
        <v>300</v>
      </c>
      <c r="Q78" s="128">
        <f t="shared" ref="Q78:Q80" si="56">IF(P78="","",P78+Q77)</f>
        <v>11652</v>
      </c>
      <c r="R78" s="79" t="s">
        <v>23</v>
      </c>
    </row>
    <row r="79" spans="1:18" ht="15.95" customHeight="1" x14ac:dyDescent="0.2">
      <c r="A79" s="47"/>
      <c r="B79" s="55"/>
      <c r="C79" s="9"/>
      <c r="D79" s="55"/>
      <c r="E79" s="56"/>
      <c r="F79" s="57"/>
      <c r="G79" s="126">
        <v>46179</v>
      </c>
      <c r="H79" s="127">
        <v>25</v>
      </c>
      <c r="I79" s="127"/>
      <c r="J79" s="127">
        <v>68</v>
      </c>
      <c r="K79" s="127">
        <f t="shared" si="36"/>
        <v>50</v>
      </c>
      <c r="L79" s="127">
        <v>25</v>
      </c>
      <c r="M79" s="127">
        <v>75</v>
      </c>
      <c r="N79" s="127">
        <v>75</v>
      </c>
      <c r="O79" s="127">
        <v>75</v>
      </c>
      <c r="P79" s="78">
        <f t="shared" si="55"/>
        <v>300</v>
      </c>
      <c r="Q79" s="128">
        <f t="shared" si="56"/>
        <v>11952</v>
      </c>
      <c r="R79" s="79" t="s">
        <v>23</v>
      </c>
    </row>
    <row r="80" spans="1:18" ht="15.95" customHeight="1" x14ac:dyDescent="0.2">
      <c r="A80" s="47"/>
      <c r="B80" s="55"/>
      <c r="C80" s="9"/>
      <c r="D80" s="55"/>
      <c r="E80" s="56"/>
      <c r="F80" s="57"/>
      <c r="G80" s="126">
        <v>46179</v>
      </c>
      <c r="H80" s="127">
        <v>25</v>
      </c>
      <c r="I80" s="127"/>
      <c r="J80" s="127">
        <v>69</v>
      </c>
      <c r="K80" s="127">
        <f t="shared" si="36"/>
        <v>50</v>
      </c>
      <c r="L80" s="127">
        <v>25</v>
      </c>
      <c r="M80" s="127">
        <v>75</v>
      </c>
      <c r="N80" s="127">
        <v>75</v>
      </c>
      <c r="O80" s="127">
        <v>75</v>
      </c>
      <c r="P80" s="78">
        <f t="shared" si="55"/>
        <v>300</v>
      </c>
      <c r="Q80" s="128">
        <f t="shared" si="56"/>
        <v>12252</v>
      </c>
      <c r="R80" s="79" t="s">
        <v>23</v>
      </c>
    </row>
    <row r="81" spans="1:18" ht="15.95" customHeight="1" x14ac:dyDescent="0.2">
      <c r="A81" s="47"/>
      <c r="B81" s="55"/>
      <c r="C81" s="9"/>
      <c r="D81" s="55"/>
      <c r="E81" s="56"/>
      <c r="F81" s="57"/>
      <c r="G81" s="126">
        <v>46179</v>
      </c>
      <c r="H81" s="127">
        <v>25</v>
      </c>
      <c r="I81" s="127"/>
      <c r="J81" s="127">
        <v>70</v>
      </c>
      <c r="K81" s="127">
        <f t="shared" si="36"/>
        <v>50</v>
      </c>
      <c r="L81" s="127">
        <v>25</v>
      </c>
      <c r="M81" s="127">
        <v>75</v>
      </c>
      <c r="N81" s="127">
        <v>75</v>
      </c>
      <c r="O81" s="127">
        <v>75</v>
      </c>
      <c r="P81" s="78">
        <f t="shared" ref="P81:P82" si="57">IF(G81="","",SUM(K81:O81))</f>
        <v>300</v>
      </c>
      <c r="Q81" s="128">
        <f t="shared" ref="Q81:Q82" si="58">IF(P81="","",P81+Q80)</f>
        <v>12552</v>
      </c>
      <c r="R81" s="79" t="s">
        <v>23</v>
      </c>
    </row>
    <row r="82" spans="1:18" ht="15.95" customHeight="1" x14ac:dyDescent="0.2">
      <c r="A82" s="47"/>
      <c r="B82" s="55"/>
      <c r="C82" s="9"/>
      <c r="D82" s="55"/>
      <c r="E82" s="56"/>
      <c r="F82" s="57"/>
      <c r="G82" s="126">
        <v>46180</v>
      </c>
      <c r="H82" s="127">
        <v>15</v>
      </c>
      <c r="I82" s="127"/>
      <c r="J82" s="127">
        <v>71</v>
      </c>
      <c r="K82" s="127">
        <v>30</v>
      </c>
      <c r="L82" s="127">
        <v>15</v>
      </c>
      <c r="M82" s="127">
        <v>45</v>
      </c>
      <c r="N82" s="127">
        <v>45</v>
      </c>
      <c r="O82" s="127">
        <v>45</v>
      </c>
      <c r="P82" s="78">
        <f t="shared" si="57"/>
        <v>180</v>
      </c>
      <c r="Q82" s="128">
        <f t="shared" si="58"/>
        <v>12732</v>
      </c>
      <c r="R82" s="79" t="s">
        <v>23</v>
      </c>
    </row>
    <row r="83" spans="1:18" ht="15.95" customHeight="1" x14ac:dyDescent="0.2">
      <c r="A83" s="47"/>
      <c r="B83" s="55"/>
      <c r="C83" s="9"/>
      <c r="D83" s="55"/>
      <c r="E83" s="56"/>
      <c r="F83" s="57"/>
      <c r="G83" s="126">
        <v>46180</v>
      </c>
      <c r="H83" s="127">
        <v>25</v>
      </c>
      <c r="I83" s="127"/>
      <c r="J83" s="127">
        <v>72</v>
      </c>
      <c r="K83" s="127">
        <f t="shared" si="36"/>
        <v>50</v>
      </c>
      <c r="L83" s="127">
        <v>25</v>
      </c>
      <c r="M83" s="127">
        <v>75</v>
      </c>
      <c r="N83" s="127">
        <v>75</v>
      </c>
      <c r="O83" s="127">
        <v>75</v>
      </c>
      <c r="P83" s="78">
        <f t="shared" ref="P83:P84" si="59">IF(G83="","",SUM(K83:O83))</f>
        <v>300</v>
      </c>
      <c r="Q83" s="128">
        <f t="shared" ref="Q83:Q84" si="60">IF(P83="","",P83+Q82)</f>
        <v>13032</v>
      </c>
      <c r="R83" s="79" t="s">
        <v>23</v>
      </c>
    </row>
    <row r="84" spans="1:18" ht="15.95" customHeight="1" x14ac:dyDescent="0.2">
      <c r="A84" s="47"/>
      <c r="B84" s="55"/>
      <c r="C84" s="9"/>
      <c r="D84" s="55"/>
      <c r="E84" s="56"/>
      <c r="F84" s="57"/>
      <c r="G84" s="126">
        <v>46180</v>
      </c>
      <c r="H84" s="127">
        <v>25</v>
      </c>
      <c r="I84" s="127"/>
      <c r="J84" s="127">
        <v>73</v>
      </c>
      <c r="K84" s="127">
        <f t="shared" si="36"/>
        <v>50</v>
      </c>
      <c r="L84" s="127">
        <v>25</v>
      </c>
      <c r="M84" s="127">
        <v>75</v>
      </c>
      <c r="N84" s="127">
        <v>75</v>
      </c>
      <c r="O84" s="127">
        <v>75</v>
      </c>
      <c r="P84" s="78">
        <f t="shared" si="59"/>
        <v>300</v>
      </c>
      <c r="Q84" s="128">
        <f t="shared" si="60"/>
        <v>13332</v>
      </c>
      <c r="R84" s="79" t="s">
        <v>23</v>
      </c>
    </row>
    <row r="85" spans="1:18" ht="15.95" customHeight="1" x14ac:dyDescent="0.2">
      <c r="A85" s="47"/>
      <c r="B85" s="55"/>
      <c r="C85" s="9"/>
      <c r="D85" s="55"/>
      <c r="E85" s="56"/>
      <c r="F85" s="57"/>
      <c r="G85" s="126">
        <v>46181</v>
      </c>
      <c r="H85" s="127">
        <v>25</v>
      </c>
      <c r="I85" s="127"/>
      <c r="J85" s="127">
        <v>74</v>
      </c>
      <c r="K85" s="127">
        <f t="shared" si="36"/>
        <v>50</v>
      </c>
      <c r="L85" s="127">
        <v>25</v>
      </c>
      <c r="M85" s="127">
        <v>75</v>
      </c>
      <c r="N85" s="127">
        <v>75</v>
      </c>
      <c r="O85" s="127">
        <v>75</v>
      </c>
      <c r="P85" s="78">
        <f t="shared" ref="P85:P86" si="61">IF(G85="","",SUM(K85:O85))</f>
        <v>300</v>
      </c>
      <c r="Q85" s="128">
        <f t="shared" ref="Q85:Q86" si="62">IF(P85="","",P85+Q84)</f>
        <v>13632</v>
      </c>
      <c r="R85" s="79" t="s">
        <v>23</v>
      </c>
    </row>
    <row r="86" spans="1:18" ht="15.95" customHeight="1" x14ac:dyDescent="0.2">
      <c r="A86" s="47"/>
      <c r="B86" s="55"/>
      <c r="C86" s="9"/>
      <c r="D86" s="55"/>
      <c r="E86" s="56"/>
      <c r="F86" s="57"/>
      <c r="G86" s="126">
        <v>46181</v>
      </c>
      <c r="H86" s="127">
        <v>25</v>
      </c>
      <c r="I86" s="127"/>
      <c r="J86" s="127">
        <v>75</v>
      </c>
      <c r="K86" s="127">
        <f t="shared" si="36"/>
        <v>50</v>
      </c>
      <c r="L86" s="127">
        <v>25</v>
      </c>
      <c r="M86" s="127">
        <v>75</v>
      </c>
      <c r="N86" s="127">
        <v>75</v>
      </c>
      <c r="O86" s="127">
        <v>75</v>
      </c>
      <c r="P86" s="78">
        <f t="shared" si="61"/>
        <v>300</v>
      </c>
      <c r="Q86" s="128">
        <f t="shared" si="62"/>
        <v>13932</v>
      </c>
      <c r="R86" s="79" t="s">
        <v>23</v>
      </c>
    </row>
    <row r="87" spans="1:18" ht="15.95" customHeight="1" x14ac:dyDescent="0.2">
      <c r="A87" s="47"/>
      <c r="B87" s="55"/>
      <c r="C87" s="9"/>
      <c r="D87" s="55"/>
      <c r="E87" s="56"/>
      <c r="F87" s="57"/>
      <c r="G87" s="126">
        <v>46181</v>
      </c>
      <c r="H87" s="127">
        <v>25</v>
      </c>
      <c r="I87" s="127"/>
      <c r="J87" s="127">
        <v>76</v>
      </c>
      <c r="K87" s="127">
        <f t="shared" si="36"/>
        <v>50</v>
      </c>
      <c r="L87" s="127">
        <v>25</v>
      </c>
      <c r="M87" s="127">
        <v>75</v>
      </c>
      <c r="N87" s="127">
        <v>75</v>
      </c>
      <c r="O87" s="127">
        <v>75</v>
      </c>
      <c r="P87" s="78">
        <f t="shared" ref="P87:P88" si="63">IF(G87="","",SUM(K87:O87))</f>
        <v>300</v>
      </c>
      <c r="Q87" s="128">
        <f t="shared" ref="Q87:Q88" si="64">IF(P87="","",P87+Q86)</f>
        <v>14232</v>
      </c>
      <c r="R87" s="79" t="s">
        <v>23</v>
      </c>
    </row>
    <row r="88" spans="1:18" ht="15.95" customHeight="1" x14ac:dyDescent="0.2">
      <c r="A88" s="47"/>
      <c r="B88" s="55"/>
      <c r="C88" s="9"/>
      <c r="D88" s="55"/>
      <c r="E88" s="56"/>
      <c r="F88" s="57"/>
      <c r="G88" s="126">
        <v>46181</v>
      </c>
      <c r="H88" s="127">
        <v>25</v>
      </c>
      <c r="I88" s="127"/>
      <c r="J88" s="127">
        <v>77</v>
      </c>
      <c r="K88" s="127">
        <f t="shared" si="36"/>
        <v>50</v>
      </c>
      <c r="L88" s="127">
        <v>25</v>
      </c>
      <c r="M88" s="127">
        <v>75</v>
      </c>
      <c r="N88" s="127">
        <v>75</v>
      </c>
      <c r="O88" s="127">
        <v>75</v>
      </c>
      <c r="P88" s="78">
        <f t="shared" si="63"/>
        <v>300</v>
      </c>
      <c r="Q88" s="128">
        <f t="shared" si="64"/>
        <v>14532</v>
      </c>
      <c r="R88" s="79" t="s">
        <v>23</v>
      </c>
    </row>
    <row r="89" spans="1:18" ht="15.95" customHeight="1" x14ac:dyDescent="0.2">
      <c r="A89" s="47"/>
      <c r="B89" s="55"/>
      <c r="C89" s="9"/>
      <c r="D89" s="55"/>
      <c r="E89" s="56"/>
      <c r="F89" s="57"/>
      <c r="G89" s="126">
        <v>46181</v>
      </c>
      <c r="H89" s="127">
        <v>25</v>
      </c>
      <c r="I89" s="127"/>
      <c r="J89" s="127">
        <v>78</v>
      </c>
      <c r="K89" s="127">
        <f t="shared" si="36"/>
        <v>50</v>
      </c>
      <c r="L89" s="127">
        <v>25</v>
      </c>
      <c r="M89" s="127">
        <v>75</v>
      </c>
      <c r="N89" s="127">
        <v>75</v>
      </c>
      <c r="O89" s="127">
        <v>75</v>
      </c>
      <c r="P89" s="78">
        <f t="shared" ref="P89:P93" si="65">IF(G89="","",SUM(K89:O89))</f>
        <v>300</v>
      </c>
      <c r="Q89" s="128">
        <f t="shared" ref="Q89:Q93" si="66">IF(P89="","",P89+Q88)</f>
        <v>14832</v>
      </c>
      <c r="R89" s="79" t="s">
        <v>23</v>
      </c>
    </row>
    <row r="90" spans="1:18" ht="15.95" customHeight="1" x14ac:dyDescent="0.2">
      <c r="A90" s="47"/>
      <c r="B90" s="55"/>
      <c r="C90" s="9"/>
      <c r="D90" s="55"/>
      <c r="E90" s="56"/>
      <c r="F90" s="57"/>
      <c r="G90" s="126">
        <v>46182</v>
      </c>
      <c r="H90" s="127">
        <v>15</v>
      </c>
      <c r="I90" s="127"/>
      <c r="J90" s="127">
        <v>79</v>
      </c>
      <c r="K90" s="127">
        <v>30</v>
      </c>
      <c r="L90" s="127">
        <v>15</v>
      </c>
      <c r="M90" s="127">
        <v>45</v>
      </c>
      <c r="N90" s="127">
        <v>45</v>
      </c>
      <c r="O90" s="127">
        <v>45</v>
      </c>
      <c r="P90" s="78">
        <f t="shared" si="65"/>
        <v>180</v>
      </c>
      <c r="Q90" s="128">
        <f t="shared" si="66"/>
        <v>15012</v>
      </c>
      <c r="R90" s="79" t="s">
        <v>23</v>
      </c>
    </row>
    <row r="91" spans="1:18" ht="15.95" customHeight="1" x14ac:dyDescent="0.2">
      <c r="A91" s="47"/>
      <c r="B91" s="55"/>
      <c r="C91" s="9"/>
      <c r="D91" s="55"/>
      <c r="E91" s="56"/>
      <c r="F91" s="57"/>
      <c r="G91" s="126">
        <v>46182</v>
      </c>
      <c r="H91" s="127">
        <v>21</v>
      </c>
      <c r="I91" s="127"/>
      <c r="J91" s="127">
        <v>80</v>
      </c>
      <c r="K91" s="127">
        <v>42</v>
      </c>
      <c r="L91" s="127">
        <v>21</v>
      </c>
      <c r="M91" s="127">
        <v>63</v>
      </c>
      <c r="N91" s="127">
        <v>63</v>
      </c>
      <c r="O91" s="127">
        <v>63</v>
      </c>
      <c r="P91" s="78">
        <f t="shared" si="65"/>
        <v>252</v>
      </c>
      <c r="Q91" s="128">
        <f t="shared" si="66"/>
        <v>15264</v>
      </c>
      <c r="R91" s="79" t="s">
        <v>23</v>
      </c>
    </row>
    <row r="92" spans="1:18" ht="15.95" customHeight="1" x14ac:dyDescent="0.2">
      <c r="A92" s="47"/>
      <c r="B92" s="55"/>
      <c r="C92" s="9"/>
      <c r="D92" s="55"/>
      <c r="E92" s="56"/>
      <c r="F92" s="57"/>
      <c r="G92" s="126">
        <v>46184</v>
      </c>
      <c r="H92" s="127">
        <v>25</v>
      </c>
      <c r="I92" s="127"/>
      <c r="J92" s="127">
        <v>81</v>
      </c>
      <c r="K92" s="127">
        <f>25*2</f>
        <v>50</v>
      </c>
      <c r="L92" s="127">
        <v>25</v>
      </c>
      <c r="M92" s="127">
        <f>25*3</f>
        <v>75</v>
      </c>
      <c r="N92" s="127">
        <f>25*3</f>
        <v>75</v>
      </c>
      <c r="O92" s="127">
        <f>25*3</f>
        <v>75</v>
      </c>
      <c r="P92" s="78">
        <f t="shared" si="65"/>
        <v>300</v>
      </c>
      <c r="Q92" s="128">
        <f t="shared" si="66"/>
        <v>15564</v>
      </c>
      <c r="R92" s="79" t="s">
        <v>23</v>
      </c>
    </row>
    <row r="93" spans="1:18" ht="15.95" customHeight="1" thickBot="1" x14ac:dyDescent="0.25">
      <c r="A93" s="47"/>
      <c r="B93" s="55"/>
      <c r="C93" s="9"/>
      <c r="D93" s="55"/>
      <c r="E93" s="56"/>
      <c r="F93" s="57"/>
      <c r="G93" s="126"/>
      <c r="H93" s="127"/>
      <c r="I93" s="127"/>
      <c r="J93" s="127"/>
      <c r="K93" s="127"/>
      <c r="L93" s="127"/>
      <c r="M93" s="127"/>
      <c r="N93" s="127"/>
      <c r="O93" s="127"/>
      <c r="P93" s="78" t="str">
        <f t="shared" si="65"/>
        <v/>
      </c>
      <c r="Q93" s="128" t="str">
        <f t="shared" si="66"/>
        <v/>
      </c>
      <c r="R93" s="79"/>
    </row>
    <row r="94" spans="1:18" ht="19.5" customHeight="1" thickBot="1" x14ac:dyDescent="0.25">
      <c r="A94" s="48"/>
      <c r="B94" s="58"/>
      <c r="C94" s="58"/>
      <c r="D94" s="58"/>
      <c r="E94" s="59"/>
      <c r="F94" s="58"/>
      <c r="G94" s="19"/>
      <c r="H94" s="20"/>
      <c r="I94" s="21"/>
      <c r="J94" s="22" t="s">
        <v>11</v>
      </c>
      <c r="K94" s="38">
        <f>SUM(K40:K93)</f>
        <v>2594</v>
      </c>
      <c r="L94" s="38">
        <f>SUM(L40:L93)</f>
        <v>1297</v>
      </c>
      <c r="M94" s="38">
        <f>SUM(M40:M93)</f>
        <v>3891</v>
      </c>
      <c r="N94" s="38">
        <f>SUM(N40:N93)</f>
        <v>3891</v>
      </c>
      <c r="O94" s="38">
        <f>SUM(O40:O93)</f>
        <v>3891</v>
      </c>
      <c r="P94" s="38">
        <f>SUM(K94:O94)</f>
        <v>15564</v>
      </c>
      <c r="Q94" s="23"/>
      <c r="R94" s="82"/>
    </row>
    <row r="95" spans="1:18" ht="18.75" customHeight="1" thickBot="1" x14ac:dyDescent="0.25">
      <c r="A95" s="49"/>
      <c r="B95" s="60"/>
      <c r="C95" s="60"/>
      <c r="D95" s="60"/>
      <c r="E95" s="60"/>
      <c r="F95" s="60"/>
      <c r="G95" s="24"/>
      <c r="H95" s="24"/>
      <c r="I95" s="25"/>
      <c r="J95" s="26" t="s">
        <v>12</v>
      </c>
      <c r="K95" s="39">
        <f>IF(K38="","",K94-K38)</f>
        <v>-234</v>
      </c>
      <c r="L95" s="39">
        <f>IF(L38="","",L94-L38)</f>
        <v>-117</v>
      </c>
      <c r="M95" s="39">
        <f>IF(M38="","",M94-M38)</f>
        <v>-351</v>
      </c>
      <c r="N95" s="39">
        <f>IF(N38="","",N94-N38)</f>
        <v>-351</v>
      </c>
      <c r="O95" s="39">
        <f>IF(O38="","",O94-O38)</f>
        <v>-351</v>
      </c>
      <c r="P95" s="39">
        <f>SUM(K95:O95)</f>
        <v>-1404</v>
      </c>
      <c r="Q95" s="27"/>
      <c r="R95" s="83"/>
    </row>
    <row r="96" spans="1:18" ht="18.75" customHeight="1" x14ac:dyDescent="0.25">
      <c r="A96" s="43"/>
      <c r="D96" s="140"/>
      <c r="E96" s="43"/>
      <c r="I96"/>
      <c r="J96" s="130"/>
      <c r="K96" s="131"/>
      <c r="L96" s="131"/>
      <c r="M96" s="131"/>
      <c r="N96" s="131"/>
      <c r="O96" s="131"/>
      <c r="P96" s="131"/>
      <c r="Q96" s="29"/>
    </row>
    <row r="97" spans="1:18" s="1" customFormat="1" ht="18.75" customHeight="1" thickBot="1" x14ac:dyDescent="0.35">
      <c r="A97" s="46"/>
      <c r="B97" s="41"/>
      <c r="C97" s="41"/>
      <c r="D97" s="133"/>
      <c r="E97" s="41"/>
      <c r="F97" s="41"/>
      <c r="I97" s="90" t="s">
        <v>26</v>
      </c>
      <c r="K97" s="30"/>
      <c r="L97" s="30"/>
      <c r="M97" s="30"/>
      <c r="N97" s="30"/>
      <c r="O97" s="30"/>
      <c r="P97" s="30"/>
      <c r="Q97" s="30"/>
      <c r="R97" s="81"/>
    </row>
    <row r="98" spans="1:18" s="2" customFormat="1" ht="27" customHeight="1" thickBot="1" x14ac:dyDescent="0.25">
      <c r="A98" s="91"/>
      <c r="B98" s="51"/>
      <c r="C98" s="51"/>
      <c r="D98" s="134"/>
      <c r="E98" s="52"/>
      <c r="F98" s="53"/>
      <c r="G98" s="15"/>
      <c r="H98" s="15"/>
      <c r="I98" s="15"/>
      <c r="J98" s="16" t="s">
        <v>16</v>
      </c>
      <c r="K98" s="17">
        <v>2612</v>
      </c>
      <c r="L98" s="17">
        <v>1306</v>
      </c>
      <c r="M98" s="17">
        <v>3918</v>
      </c>
      <c r="N98" s="17">
        <v>3918</v>
      </c>
      <c r="O98" s="17">
        <v>3918</v>
      </c>
      <c r="P98" s="18">
        <f>SUM(K98:O98)</f>
        <v>15672</v>
      </c>
      <c r="Q98" s="37"/>
      <c r="R98" s="76">
        <v>46215</v>
      </c>
    </row>
    <row r="99" spans="1:18" s="13" customFormat="1" ht="30.75" customHeight="1" thickBot="1" x14ac:dyDescent="0.2">
      <c r="A99" s="44" t="s">
        <v>17</v>
      </c>
      <c r="B99" s="50" t="s">
        <v>13</v>
      </c>
      <c r="C99" s="50" t="s">
        <v>14</v>
      </c>
      <c r="D99" s="135" t="s">
        <v>9</v>
      </c>
      <c r="E99" s="50" t="s">
        <v>22</v>
      </c>
      <c r="F99" s="50" t="s">
        <v>8</v>
      </c>
      <c r="G99" s="10" t="s">
        <v>7</v>
      </c>
      <c r="H99" s="10" t="s">
        <v>5</v>
      </c>
      <c r="I99" s="10" t="s">
        <v>6</v>
      </c>
      <c r="J99" s="11" t="s">
        <v>4</v>
      </c>
      <c r="K99" s="14" t="s">
        <v>28</v>
      </c>
      <c r="L99" s="14" t="s">
        <v>29</v>
      </c>
      <c r="M99" s="14" t="s">
        <v>1</v>
      </c>
      <c r="N99" s="14" t="s">
        <v>24</v>
      </c>
      <c r="O99" s="14" t="s">
        <v>25</v>
      </c>
      <c r="P99" s="12" t="s">
        <v>10</v>
      </c>
      <c r="Q99" s="12" t="s">
        <v>3</v>
      </c>
      <c r="R99" s="85" t="s">
        <v>0</v>
      </c>
    </row>
    <row r="100" spans="1:18" s="3" customFormat="1" ht="15.95" customHeight="1" x14ac:dyDescent="0.2">
      <c r="A100" s="86" t="s">
        <v>32</v>
      </c>
      <c r="B100" s="87" t="s">
        <v>31</v>
      </c>
      <c r="C100" s="87">
        <v>14223</v>
      </c>
      <c r="D100" s="87" t="s">
        <v>36</v>
      </c>
      <c r="E100" s="88">
        <f>P98</f>
        <v>15672</v>
      </c>
      <c r="F100" s="89"/>
      <c r="G100" s="4">
        <v>46184</v>
      </c>
      <c r="H100" s="5">
        <v>25</v>
      </c>
      <c r="I100" s="5"/>
      <c r="J100" s="5">
        <v>1</v>
      </c>
      <c r="K100" s="127">
        <f t="shared" ref="K100:K151" si="67">25*2</f>
        <v>50</v>
      </c>
      <c r="L100" s="127">
        <v>25</v>
      </c>
      <c r="M100" s="127">
        <v>75</v>
      </c>
      <c r="N100" s="127">
        <v>75</v>
      </c>
      <c r="O100" s="127">
        <v>75</v>
      </c>
      <c r="P100" s="78">
        <f t="shared" ref="P100:P101" si="68">IF(G100="","",SUM(K100:O100))</f>
        <v>300</v>
      </c>
      <c r="Q100" s="128">
        <f>IF(P100="","",P100)</f>
        <v>300</v>
      </c>
      <c r="R100" s="79" t="s">
        <v>23</v>
      </c>
    </row>
    <row r="101" spans="1:18" ht="15.95" customHeight="1" x14ac:dyDescent="0.25">
      <c r="A101" s="47" t="s">
        <v>37</v>
      </c>
      <c r="B101" s="55"/>
      <c r="C101" s="9"/>
      <c r="D101" s="136" t="s">
        <v>45</v>
      </c>
      <c r="E101" s="56"/>
      <c r="F101" s="57"/>
      <c r="G101" s="8">
        <v>46184</v>
      </c>
      <c r="H101" s="9">
        <v>25</v>
      </c>
      <c r="I101" s="9"/>
      <c r="J101" s="9">
        <v>2</v>
      </c>
      <c r="K101" s="127">
        <f t="shared" si="67"/>
        <v>50</v>
      </c>
      <c r="L101" s="127">
        <v>25</v>
      </c>
      <c r="M101" s="127">
        <v>75</v>
      </c>
      <c r="N101" s="127">
        <v>75</v>
      </c>
      <c r="O101" s="127">
        <v>75</v>
      </c>
      <c r="P101" s="78">
        <f t="shared" si="68"/>
        <v>300</v>
      </c>
      <c r="Q101" s="128">
        <f t="shared" ref="Q101" si="69">IF(P101="","",P101+Q100)</f>
        <v>600</v>
      </c>
      <c r="R101" s="79" t="s">
        <v>23</v>
      </c>
    </row>
    <row r="102" spans="1:18" ht="15.95" customHeight="1" x14ac:dyDescent="0.25">
      <c r="A102" s="47"/>
      <c r="B102" s="55"/>
      <c r="C102" s="9"/>
      <c r="D102" s="137"/>
      <c r="E102" s="56"/>
      <c r="F102" s="57"/>
      <c r="G102" s="4">
        <v>46184</v>
      </c>
      <c r="H102" s="5">
        <v>25</v>
      </c>
      <c r="I102" s="5"/>
      <c r="J102" s="5">
        <v>3</v>
      </c>
      <c r="K102" s="127">
        <f t="shared" si="67"/>
        <v>50</v>
      </c>
      <c r="L102" s="127">
        <v>25</v>
      </c>
      <c r="M102" s="127">
        <v>75</v>
      </c>
      <c r="N102" s="127">
        <v>75</v>
      </c>
      <c r="O102" s="127">
        <v>75</v>
      </c>
      <c r="P102" s="6">
        <f>IF(G102="","",SUM(K102:O102))</f>
        <v>300</v>
      </c>
      <c r="Q102" s="6">
        <f t="shared" ref="Q102:Q105" si="70">IF(P102="","",Q101+P102)</f>
        <v>900</v>
      </c>
      <c r="R102" s="42" t="s">
        <v>23</v>
      </c>
    </row>
    <row r="103" spans="1:18" ht="15.95" customHeight="1" x14ac:dyDescent="0.25">
      <c r="A103" s="47"/>
      <c r="B103" s="55"/>
      <c r="C103" s="9"/>
      <c r="D103" s="136"/>
      <c r="E103" s="56"/>
      <c r="F103" s="57"/>
      <c r="G103" s="72">
        <v>46186</v>
      </c>
      <c r="H103" s="127">
        <v>25</v>
      </c>
      <c r="I103" s="73"/>
      <c r="J103" s="73">
        <v>4</v>
      </c>
      <c r="K103" s="127">
        <f t="shared" si="67"/>
        <v>50</v>
      </c>
      <c r="L103" s="127">
        <v>25</v>
      </c>
      <c r="M103" s="127">
        <v>75</v>
      </c>
      <c r="N103" s="127">
        <v>75</v>
      </c>
      <c r="O103" s="127">
        <v>75</v>
      </c>
      <c r="P103" s="78">
        <f>IF(G103="","",SUM(K103:O103))</f>
        <v>300</v>
      </c>
      <c r="Q103" s="78">
        <f t="shared" si="70"/>
        <v>1200</v>
      </c>
      <c r="R103" s="74" t="s">
        <v>23</v>
      </c>
    </row>
    <row r="104" spans="1:18" ht="15.95" customHeight="1" x14ac:dyDescent="0.25">
      <c r="A104" s="47"/>
      <c r="B104" s="55"/>
      <c r="C104" s="9"/>
      <c r="D104" s="136"/>
      <c r="E104" s="56"/>
      <c r="F104" s="57"/>
      <c r="G104" s="72">
        <v>46186</v>
      </c>
      <c r="H104" s="127">
        <v>25</v>
      </c>
      <c r="I104" s="73"/>
      <c r="J104" s="73">
        <v>5</v>
      </c>
      <c r="K104" s="127">
        <f t="shared" si="67"/>
        <v>50</v>
      </c>
      <c r="L104" s="127">
        <v>25</v>
      </c>
      <c r="M104" s="127">
        <v>75</v>
      </c>
      <c r="N104" s="127">
        <v>75</v>
      </c>
      <c r="O104" s="127">
        <v>75</v>
      </c>
      <c r="P104" s="78">
        <f t="shared" ref="P104:P105" si="71">IF(G104="","",SUM(K104:O104))</f>
        <v>300</v>
      </c>
      <c r="Q104" s="78">
        <f t="shared" si="70"/>
        <v>1500</v>
      </c>
      <c r="R104" s="74" t="s">
        <v>23</v>
      </c>
    </row>
    <row r="105" spans="1:18" ht="15.95" customHeight="1" x14ac:dyDescent="0.25">
      <c r="A105" s="47"/>
      <c r="B105" s="55"/>
      <c r="C105" s="9"/>
      <c r="D105" s="136"/>
      <c r="E105" s="56"/>
      <c r="F105" s="57"/>
      <c r="G105" s="72">
        <v>46186</v>
      </c>
      <c r="H105" s="127">
        <v>25</v>
      </c>
      <c r="I105" s="73"/>
      <c r="J105" s="73">
        <v>6</v>
      </c>
      <c r="K105" s="127">
        <f t="shared" si="67"/>
        <v>50</v>
      </c>
      <c r="L105" s="127">
        <v>25</v>
      </c>
      <c r="M105" s="127">
        <v>75</v>
      </c>
      <c r="N105" s="127">
        <v>75</v>
      </c>
      <c r="O105" s="127">
        <v>75</v>
      </c>
      <c r="P105" s="78">
        <f t="shared" si="71"/>
        <v>300</v>
      </c>
      <c r="Q105" s="78">
        <f t="shared" si="70"/>
        <v>1800</v>
      </c>
      <c r="R105" s="74" t="s">
        <v>23</v>
      </c>
    </row>
    <row r="106" spans="1:18" ht="15.95" customHeight="1" x14ac:dyDescent="0.25">
      <c r="A106" s="47"/>
      <c r="B106" s="55"/>
      <c r="C106" s="9"/>
      <c r="D106" s="136"/>
      <c r="E106" s="56"/>
      <c r="F106" s="57"/>
      <c r="G106" s="72">
        <v>46186</v>
      </c>
      <c r="H106" s="127">
        <v>25</v>
      </c>
      <c r="I106" s="73"/>
      <c r="J106" s="73">
        <v>7</v>
      </c>
      <c r="K106" s="127">
        <f t="shared" si="67"/>
        <v>50</v>
      </c>
      <c r="L106" s="127">
        <v>25</v>
      </c>
      <c r="M106" s="127">
        <v>75</v>
      </c>
      <c r="N106" s="127">
        <v>75</v>
      </c>
      <c r="O106" s="127">
        <v>75</v>
      </c>
      <c r="P106" s="78">
        <f t="shared" ref="P106:P107" si="72">IF(G106="","",SUM(K106:O106))</f>
        <v>300</v>
      </c>
      <c r="Q106" s="78">
        <f t="shared" ref="Q106:Q107" si="73">IF(P106="","",Q105+P106)</f>
        <v>2100</v>
      </c>
      <c r="R106" s="74" t="s">
        <v>23</v>
      </c>
    </row>
    <row r="107" spans="1:18" ht="15.95" customHeight="1" x14ac:dyDescent="0.25">
      <c r="A107" s="47"/>
      <c r="B107" s="55"/>
      <c r="C107" s="9"/>
      <c r="D107" s="136"/>
      <c r="E107" s="56"/>
      <c r="F107" s="57"/>
      <c r="G107" s="72">
        <v>46186</v>
      </c>
      <c r="H107" s="127">
        <v>25</v>
      </c>
      <c r="I107" s="73"/>
      <c r="J107" s="73">
        <v>8</v>
      </c>
      <c r="K107" s="127">
        <f t="shared" si="67"/>
        <v>50</v>
      </c>
      <c r="L107" s="127">
        <v>25</v>
      </c>
      <c r="M107" s="127">
        <v>75</v>
      </c>
      <c r="N107" s="127">
        <v>75</v>
      </c>
      <c r="O107" s="127">
        <v>75</v>
      </c>
      <c r="P107" s="78">
        <f t="shared" si="72"/>
        <v>300</v>
      </c>
      <c r="Q107" s="78">
        <f t="shared" si="73"/>
        <v>2400</v>
      </c>
      <c r="R107" s="74" t="s">
        <v>23</v>
      </c>
    </row>
    <row r="108" spans="1:18" ht="15.95" customHeight="1" x14ac:dyDescent="0.25">
      <c r="A108" s="47"/>
      <c r="B108" s="55"/>
      <c r="C108" s="9"/>
      <c r="D108" s="136"/>
      <c r="E108" s="56"/>
      <c r="F108" s="57"/>
      <c r="G108" s="72">
        <v>46186</v>
      </c>
      <c r="H108" s="127">
        <v>25</v>
      </c>
      <c r="I108" s="73"/>
      <c r="J108" s="73">
        <v>9</v>
      </c>
      <c r="K108" s="127">
        <f t="shared" si="67"/>
        <v>50</v>
      </c>
      <c r="L108" s="127">
        <v>25</v>
      </c>
      <c r="M108" s="127">
        <v>75</v>
      </c>
      <c r="N108" s="127">
        <v>75</v>
      </c>
      <c r="O108" s="127">
        <v>75</v>
      </c>
      <c r="P108" s="78">
        <f t="shared" ref="P108:P109" si="74">IF(G108="","",SUM(K108:O108))</f>
        <v>300</v>
      </c>
      <c r="Q108" s="78">
        <f t="shared" ref="Q108:Q109" si="75">IF(P108="","",Q107+P108)</f>
        <v>2700</v>
      </c>
      <c r="R108" s="74" t="s">
        <v>23</v>
      </c>
    </row>
    <row r="109" spans="1:18" ht="15.95" customHeight="1" x14ac:dyDescent="0.25">
      <c r="A109" s="47"/>
      <c r="B109" s="55"/>
      <c r="C109" s="9"/>
      <c r="D109" s="136"/>
      <c r="E109" s="56"/>
      <c r="F109" s="57"/>
      <c r="G109" s="72">
        <v>46186</v>
      </c>
      <c r="H109" s="127">
        <v>25</v>
      </c>
      <c r="I109" s="73"/>
      <c r="J109" s="73">
        <v>10</v>
      </c>
      <c r="K109" s="127">
        <f t="shared" si="67"/>
        <v>50</v>
      </c>
      <c r="L109" s="127">
        <v>25</v>
      </c>
      <c r="M109" s="127">
        <v>75</v>
      </c>
      <c r="N109" s="127">
        <v>75</v>
      </c>
      <c r="O109" s="127">
        <v>75</v>
      </c>
      <c r="P109" s="78">
        <f t="shared" si="74"/>
        <v>300</v>
      </c>
      <c r="Q109" s="78">
        <f t="shared" si="75"/>
        <v>3000</v>
      </c>
      <c r="R109" s="74" t="s">
        <v>23</v>
      </c>
    </row>
    <row r="110" spans="1:18" ht="15.95" customHeight="1" x14ac:dyDescent="0.25">
      <c r="A110" s="47"/>
      <c r="B110" s="55"/>
      <c r="C110" s="9"/>
      <c r="D110" s="136"/>
      <c r="E110" s="56"/>
      <c r="F110" s="57"/>
      <c r="G110" s="72">
        <v>46187</v>
      </c>
      <c r="H110" s="127">
        <v>25</v>
      </c>
      <c r="I110" s="73"/>
      <c r="J110" s="73">
        <v>11</v>
      </c>
      <c r="K110" s="127">
        <f t="shared" si="67"/>
        <v>50</v>
      </c>
      <c r="L110" s="127">
        <v>25</v>
      </c>
      <c r="M110" s="127">
        <v>75</v>
      </c>
      <c r="N110" s="127">
        <v>75</v>
      </c>
      <c r="O110" s="127">
        <v>75</v>
      </c>
      <c r="P110" s="78">
        <f t="shared" ref="P110" si="76">IF(G110="","",SUM(K110:O110))</f>
        <v>300</v>
      </c>
      <c r="Q110" s="78">
        <f t="shared" ref="Q110" si="77">IF(P110="","",Q109+P110)</f>
        <v>3300</v>
      </c>
      <c r="R110" s="74" t="s">
        <v>23</v>
      </c>
    </row>
    <row r="111" spans="1:18" ht="15.95" customHeight="1" x14ac:dyDescent="0.25">
      <c r="A111" s="47"/>
      <c r="B111" s="55"/>
      <c r="C111" s="9"/>
      <c r="D111" s="136"/>
      <c r="E111" s="56"/>
      <c r="F111" s="57"/>
      <c r="G111" s="72">
        <v>46187</v>
      </c>
      <c r="H111" s="127">
        <v>25</v>
      </c>
      <c r="I111" s="73"/>
      <c r="J111" s="73">
        <v>12</v>
      </c>
      <c r="K111" s="127">
        <f t="shared" si="67"/>
        <v>50</v>
      </c>
      <c r="L111" s="127">
        <v>25</v>
      </c>
      <c r="M111" s="127">
        <v>75</v>
      </c>
      <c r="N111" s="127">
        <v>75</v>
      </c>
      <c r="O111" s="127">
        <v>75</v>
      </c>
      <c r="P111" s="78">
        <f t="shared" ref="P111:P112" si="78">IF(G111="","",SUM(K111:O111))</f>
        <v>300</v>
      </c>
      <c r="Q111" s="78">
        <f t="shared" ref="Q111:Q112" si="79">IF(P111="","",Q110+P111)</f>
        <v>3600</v>
      </c>
      <c r="R111" s="74" t="s">
        <v>23</v>
      </c>
    </row>
    <row r="112" spans="1:18" ht="15.95" customHeight="1" x14ac:dyDescent="0.25">
      <c r="A112" s="47"/>
      <c r="B112" s="55"/>
      <c r="C112" s="9"/>
      <c r="D112" s="136"/>
      <c r="E112" s="56"/>
      <c r="F112" s="57"/>
      <c r="G112" s="72">
        <v>46187</v>
      </c>
      <c r="H112" s="127">
        <v>25</v>
      </c>
      <c r="I112" s="73"/>
      <c r="J112" s="73">
        <v>13</v>
      </c>
      <c r="K112" s="127">
        <f t="shared" si="67"/>
        <v>50</v>
      </c>
      <c r="L112" s="127">
        <v>25</v>
      </c>
      <c r="M112" s="127">
        <v>75</v>
      </c>
      <c r="N112" s="127">
        <v>75</v>
      </c>
      <c r="O112" s="127">
        <v>75</v>
      </c>
      <c r="P112" s="78">
        <f t="shared" si="78"/>
        <v>300</v>
      </c>
      <c r="Q112" s="78">
        <f t="shared" si="79"/>
        <v>3900</v>
      </c>
      <c r="R112" s="74" t="s">
        <v>23</v>
      </c>
    </row>
    <row r="113" spans="1:18" ht="15.95" customHeight="1" x14ac:dyDescent="0.25">
      <c r="A113" s="47"/>
      <c r="B113" s="55"/>
      <c r="C113" s="9"/>
      <c r="D113" s="136"/>
      <c r="E113" s="56"/>
      <c r="F113" s="57"/>
      <c r="G113" s="72">
        <v>46188</v>
      </c>
      <c r="H113" s="127">
        <v>25</v>
      </c>
      <c r="I113" s="73"/>
      <c r="J113" s="73">
        <v>14</v>
      </c>
      <c r="K113" s="127">
        <f t="shared" si="67"/>
        <v>50</v>
      </c>
      <c r="L113" s="127">
        <v>25</v>
      </c>
      <c r="M113" s="127">
        <v>75</v>
      </c>
      <c r="N113" s="127">
        <v>75</v>
      </c>
      <c r="O113" s="127">
        <v>75</v>
      </c>
      <c r="P113" s="78">
        <f t="shared" ref="P113:P114" si="80">IF(G113="","",SUM(K113:O113))</f>
        <v>300</v>
      </c>
      <c r="Q113" s="78">
        <f>IF(P113="","",Q112+P113)</f>
        <v>4200</v>
      </c>
      <c r="R113" s="74" t="s">
        <v>23</v>
      </c>
    </row>
    <row r="114" spans="1:18" ht="15.95" customHeight="1" x14ac:dyDescent="0.25">
      <c r="A114" s="47"/>
      <c r="B114" s="55"/>
      <c r="C114" s="9"/>
      <c r="D114" s="136"/>
      <c r="E114" s="56"/>
      <c r="F114" s="57"/>
      <c r="G114" s="72">
        <v>46188</v>
      </c>
      <c r="H114" s="127">
        <v>25</v>
      </c>
      <c r="I114" s="73"/>
      <c r="J114" s="73">
        <v>15</v>
      </c>
      <c r="K114" s="127">
        <f t="shared" si="67"/>
        <v>50</v>
      </c>
      <c r="L114" s="127">
        <v>25</v>
      </c>
      <c r="M114" s="127">
        <v>75</v>
      </c>
      <c r="N114" s="127">
        <v>75</v>
      </c>
      <c r="O114" s="127">
        <v>75</v>
      </c>
      <c r="P114" s="78">
        <f t="shared" si="80"/>
        <v>300</v>
      </c>
      <c r="Q114" s="78">
        <f>IF(P114="","",Q113+P114)</f>
        <v>4500</v>
      </c>
      <c r="R114" s="74" t="s">
        <v>23</v>
      </c>
    </row>
    <row r="115" spans="1:18" ht="15.95" customHeight="1" x14ac:dyDescent="0.25">
      <c r="A115" s="47"/>
      <c r="B115" s="55"/>
      <c r="C115" s="9"/>
      <c r="D115" s="136"/>
      <c r="E115" s="56"/>
      <c r="F115" s="57"/>
      <c r="G115" s="72">
        <v>46188</v>
      </c>
      <c r="H115" s="127">
        <v>25</v>
      </c>
      <c r="I115" s="73"/>
      <c r="J115" s="73">
        <v>16</v>
      </c>
      <c r="K115" s="127">
        <f t="shared" si="67"/>
        <v>50</v>
      </c>
      <c r="L115" s="127">
        <v>25</v>
      </c>
      <c r="M115" s="127">
        <v>75</v>
      </c>
      <c r="N115" s="127">
        <v>75</v>
      </c>
      <c r="O115" s="127">
        <v>75</v>
      </c>
      <c r="P115" s="78">
        <f t="shared" ref="P115:P117" si="81">IF(G115="","",SUM(K115:O115))</f>
        <v>300</v>
      </c>
      <c r="Q115" s="78">
        <f t="shared" ref="Q115:Q117" si="82">IF(P115="","",Q114+P115)</f>
        <v>4800</v>
      </c>
      <c r="R115" s="74" t="s">
        <v>23</v>
      </c>
    </row>
    <row r="116" spans="1:18" ht="15.95" customHeight="1" x14ac:dyDescent="0.25">
      <c r="A116" s="47"/>
      <c r="B116" s="55"/>
      <c r="C116" s="9"/>
      <c r="D116" s="136"/>
      <c r="E116" s="56"/>
      <c r="F116" s="57"/>
      <c r="G116" s="72">
        <v>46188</v>
      </c>
      <c r="H116" s="127">
        <v>25</v>
      </c>
      <c r="I116" s="73"/>
      <c r="J116" s="73">
        <v>17</v>
      </c>
      <c r="K116" s="127">
        <f t="shared" si="67"/>
        <v>50</v>
      </c>
      <c r="L116" s="127">
        <v>25</v>
      </c>
      <c r="M116" s="127">
        <v>75</v>
      </c>
      <c r="N116" s="127">
        <v>75</v>
      </c>
      <c r="O116" s="127">
        <v>75</v>
      </c>
      <c r="P116" s="78">
        <f t="shared" si="81"/>
        <v>300</v>
      </c>
      <c r="Q116" s="78">
        <f t="shared" si="82"/>
        <v>5100</v>
      </c>
      <c r="R116" s="74" t="s">
        <v>23</v>
      </c>
    </row>
    <row r="117" spans="1:18" ht="15.95" customHeight="1" x14ac:dyDescent="0.25">
      <c r="A117" s="47"/>
      <c r="B117" s="55"/>
      <c r="C117" s="9"/>
      <c r="D117" s="136"/>
      <c r="E117" s="56"/>
      <c r="F117" s="57"/>
      <c r="G117" s="72">
        <v>46188</v>
      </c>
      <c r="H117" s="127">
        <v>25</v>
      </c>
      <c r="I117" s="73"/>
      <c r="J117" s="73">
        <v>18</v>
      </c>
      <c r="K117" s="127">
        <f t="shared" si="67"/>
        <v>50</v>
      </c>
      <c r="L117" s="127">
        <v>25</v>
      </c>
      <c r="M117" s="127">
        <v>75</v>
      </c>
      <c r="N117" s="127">
        <v>75</v>
      </c>
      <c r="O117" s="127">
        <v>75</v>
      </c>
      <c r="P117" s="78">
        <f t="shared" si="81"/>
        <v>300</v>
      </c>
      <c r="Q117" s="78">
        <f t="shared" si="82"/>
        <v>5400</v>
      </c>
      <c r="R117" s="74" t="s">
        <v>23</v>
      </c>
    </row>
    <row r="118" spans="1:18" ht="15.95" customHeight="1" x14ac:dyDescent="0.25">
      <c r="A118" s="47"/>
      <c r="B118" s="55"/>
      <c r="C118" s="9"/>
      <c r="D118" s="136"/>
      <c r="E118" s="56"/>
      <c r="F118" s="57"/>
      <c r="G118" s="72">
        <v>46188</v>
      </c>
      <c r="H118" s="127">
        <v>25</v>
      </c>
      <c r="I118" s="73"/>
      <c r="J118" s="73">
        <v>19</v>
      </c>
      <c r="K118" s="127">
        <f t="shared" si="67"/>
        <v>50</v>
      </c>
      <c r="L118" s="127">
        <v>25</v>
      </c>
      <c r="M118" s="127">
        <v>75</v>
      </c>
      <c r="N118" s="127">
        <v>75</v>
      </c>
      <c r="O118" s="127">
        <v>75</v>
      </c>
      <c r="P118" s="78">
        <f t="shared" ref="P118:P119" si="83">IF(G118="","",SUM(K118:O118))</f>
        <v>300</v>
      </c>
      <c r="Q118" s="78">
        <f t="shared" ref="Q118:Q119" si="84">IF(P118="","",Q117+P118)</f>
        <v>5700</v>
      </c>
      <c r="R118" s="74" t="s">
        <v>23</v>
      </c>
    </row>
    <row r="119" spans="1:18" ht="15.95" customHeight="1" x14ac:dyDescent="0.25">
      <c r="A119" s="47"/>
      <c r="B119" s="55"/>
      <c r="C119" s="9"/>
      <c r="D119" s="136"/>
      <c r="E119" s="56"/>
      <c r="F119" s="57"/>
      <c r="G119" s="72">
        <v>46189</v>
      </c>
      <c r="H119" s="127">
        <v>25</v>
      </c>
      <c r="I119" s="73"/>
      <c r="J119" s="73">
        <v>20</v>
      </c>
      <c r="K119" s="127">
        <f t="shared" si="67"/>
        <v>50</v>
      </c>
      <c r="L119" s="127">
        <v>25</v>
      </c>
      <c r="M119" s="127">
        <v>75</v>
      </c>
      <c r="N119" s="127">
        <v>75</v>
      </c>
      <c r="O119" s="127">
        <v>75</v>
      </c>
      <c r="P119" s="78">
        <f t="shared" si="83"/>
        <v>300</v>
      </c>
      <c r="Q119" s="78">
        <f t="shared" si="84"/>
        <v>6000</v>
      </c>
      <c r="R119" s="74" t="s">
        <v>23</v>
      </c>
    </row>
    <row r="120" spans="1:18" ht="15.95" customHeight="1" x14ac:dyDescent="0.25">
      <c r="A120" s="47"/>
      <c r="B120" s="55"/>
      <c r="C120" s="9"/>
      <c r="D120" s="136"/>
      <c r="E120" s="56"/>
      <c r="F120" s="57"/>
      <c r="G120" s="72">
        <v>46189</v>
      </c>
      <c r="H120" s="127">
        <v>25</v>
      </c>
      <c r="I120" s="73"/>
      <c r="J120" s="73">
        <v>21</v>
      </c>
      <c r="K120" s="127">
        <f t="shared" si="67"/>
        <v>50</v>
      </c>
      <c r="L120" s="127">
        <v>25</v>
      </c>
      <c r="M120" s="127">
        <v>75</v>
      </c>
      <c r="N120" s="127">
        <v>75</v>
      </c>
      <c r="O120" s="127">
        <v>75</v>
      </c>
      <c r="P120" s="78">
        <f t="shared" ref="P120:P121" si="85">IF(G120="","",SUM(K120:O120))</f>
        <v>300</v>
      </c>
      <c r="Q120" s="78">
        <f t="shared" ref="Q120:Q121" si="86">IF(P120="","",Q119+P120)</f>
        <v>6300</v>
      </c>
      <c r="R120" s="74" t="s">
        <v>23</v>
      </c>
    </row>
    <row r="121" spans="1:18" ht="15.95" customHeight="1" x14ac:dyDescent="0.25">
      <c r="A121" s="47"/>
      <c r="B121" s="55"/>
      <c r="C121" s="9"/>
      <c r="D121" s="136"/>
      <c r="E121" s="56"/>
      <c r="F121" s="57"/>
      <c r="G121" s="72">
        <v>46189</v>
      </c>
      <c r="H121" s="127">
        <v>25</v>
      </c>
      <c r="I121" s="73"/>
      <c r="J121" s="73">
        <v>22</v>
      </c>
      <c r="K121" s="127">
        <f t="shared" si="67"/>
        <v>50</v>
      </c>
      <c r="L121" s="127">
        <v>25</v>
      </c>
      <c r="M121" s="127">
        <v>75</v>
      </c>
      <c r="N121" s="127">
        <v>75</v>
      </c>
      <c r="O121" s="127">
        <v>75</v>
      </c>
      <c r="P121" s="78">
        <f t="shared" si="85"/>
        <v>300</v>
      </c>
      <c r="Q121" s="78">
        <f t="shared" si="86"/>
        <v>6600</v>
      </c>
      <c r="R121" s="74" t="s">
        <v>23</v>
      </c>
    </row>
    <row r="122" spans="1:18" ht="15.95" customHeight="1" x14ac:dyDescent="0.25">
      <c r="A122" s="47"/>
      <c r="B122" s="55"/>
      <c r="C122" s="9"/>
      <c r="D122" s="136"/>
      <c r="E122" s="56"/>
      <c r="F122" s="57"/>
      <c r="G122" s="72">
        <v>46189</v>
      </c>
      <c r="H122" s="127">
        <v>25</v>
      </c>
      <c r="I122" s="73"/>
      <c r="J122" s="73">
        <v>23</v>
      </c>
      <c r="K122" s="127">
        <f t="shared" si="67"/>
        <v>50</v>
      </c>
      <c r="L122" s="127">
        <v>25</v>
      </c>
      <c r="M122" s="127">
        <v>75</v>
      </c>
      <c r="N122" s="127">
        <v>75</v>
      </c>
      <c r="O122" s="127">
        <v>75</v>
      </c>
      <c r="P122" s="78">
        <f t="shared" ref="P122:P124" si="87">IF(G122="","",SUM(K122:O122))</f>
        <v>300</v>
      </c>
      <c r="Q122" s="78">
        <f t="shared" ref="Q122:Q124" si="88">IF(P122="","",Q121+P122)</f>
        <v>6900</v>
      </c>
      <c r="R122" s="74" t="s">
        <v>23</v>
      </c>
    </row>
    <row r="123" spans="1:18" ht="15.95" customHeight="1" x14ac:dyDescent="0.25">
      <c r="A123" s="47"/>
      <c r="B123" s="55"/>
      <c r="C123" s="9"/>
      <c r="D123" s="136"/>
      <c r="E123" s="56"/>
      <c r="F123" s="57"/>
      <c r="G123" s="72">
        <v>46189</v>
      </c>
      <c r="H123" s="127">
        <v>25</v>
      </c>
      <c r="I123" s="73"/>
      <c r="J123" s="73">
        <v>24</v>
      </c>
      <c r="K123" s="127">
        <f t="shared" si="67"/>
        <v>50</v>
      </c>
      <c r="L123" s="127">
        <v>25</v>
      </c>
      <c r="M123" s="127">
        <v>75</v>
      </c>
      <c r="N123" s="127">
        <v>75</v>
      </c>
      <c r="O123" s="127">
        <v>75</v>
      </c>
      <c r="P123" s="78">
        <f t="shared" si="87"/>
        <v>300</v>
      </c>
      <c r="Q123" s="78">
        <f t="shared" si="88"/>
        <v>7200</v>
      </c>
      <c r="R123" s="74" t="s">
        <v>23</v>
      </c>
    </row>
    <row r="124" spans="1:18" ht="15.95" customHeight="1" x14ac:dyDescent="0.25">
      <c r="A124" s="47"/>
      <c r="B124" s="55"/>
      <c r="C124" s="9"/>
      <c r="D124" s="136"/>
      <c r="E124" s="56"/>
      <c r="F124" s="57"/>
      <c r="G124" s="72">
        <v>46189</v>
      </c>
      <c r="H124" s="127">
        <v>25</v>
      </c>
      <c r="I124" s="73"/>
      <c r="J124" s="73">
        <v>25</v>
      </c>
      <c r="K124" s="127">
        <f t="shared" si="67"/>
        <v>50</v>
      </c>
      <c r="L124" s="127">
        <v>25</v>
      </c>
      <c r="M124" s="127">
        <v>75</v>
      </c>
      <c r="N124" s="127">
        <v>75</v>
      </c>
      <c r="O124" s="127">
        <v>75</v>
      </c>
      <c r="P124" s="78">
        <f t="shared" si="87"/>
        <v>300</v>
      </c>
      <c r="Q124" s="78">
        <f t="shared" si="88"/>
        <v>7500</v>
      </c>
      <c r="R124" s="74" t="s">
        <v>23</v>
      </c>
    </row>
    <row r="125" spans="1:18" ht="15.95" customHeight="1" x14ac:dyDescent="0.25">
      <c r="A125" s="47"/>
      <c r="B125" s="55"/>
      <c r="C125" s="9"/>
      <c r="D125" s="136"/>
      <c r="E125" s="56"/>
      <c r="F125" s="57"/>
      <c r="G125" s="72">
        <v>46190</v>
      </c>
      <c r="H125" s="127">
        <v>25</v>
      </c>
      <c r="I125" s="73"/>
      <c r="J125" s="73">
        <v>26</v>
      </c>
      <c r="K125" s="127">
        <f t="shared" si="67"/>
        <v>50</v>
      </c>
      <c r="L125" s="127">
        <v>25</v>
      </c>
      <c r="M125" s="127">
        <v>75</v>
      </c>
      <c r="N125" s="127">
        <v>75</v>
      </c>
      <c r="O125" s="127">
        <v>75</v>
      </c>
      <c r="P125" s="78">
        <f t="shared" ref="P125:P129" si="89">IF(G125="","",SUM(K125:O125))</f>
        <v>300</v>
      </c>
      <c r="Q125" s="78">
        <f t="shared" ref="Q125:Q129" si="90">IF(P125="","",Q124+P125)</f>
        <v>7800</v>
      </c>
      <c r="R125" s="74" t="s">
        <v>23</v>
      </c>
    </row>
    <row r="126" spans="1:18" ht="15.95" customHeight="1" x14ac:dyDescent="0.25">
      <c r="A126" s="47"/>
      <c r="B126" s="55"/>
      <c r="C126" s="9"/>
      <c r="D126" s="136"/>
      <c r="E126" s="56"/>
      <c r="F126" s="57"/>
      <c r="G126" s="72">
        <v>46190</v>
      </c>
      <c r="H126" s="127">
        <v>25</v>
      </c>
      <c r="I126" s="73"/>
      <c r="J126" s="73">
        <v>27</v>
      </c>
      <c r="K126" s="127">
        <f t="shared" si="67"/>
        <v>50</v>
      </c>
      <c r="L126" s="127">
        <v>25</v>
      </c>
      <c r="M126" s="127">
        <v>75</v>
      </c>
      <c r="N126" s="127">
        <v>75</v>
      </c>
      <c r="O126" s="127">
        <v>75</v>
      </c>
      <c r="P126" s="78">
        <f t="shared" si="89"/>
        <v>300</v>
      </c>
      <c r="Q126" s="78">
        <f t="shared" si="90"/>
        <v>8100</v>
      </c>
      <c r="R126" s="74" t="s">
        <v>23</v>
      </c>
    </row>
    <row r="127" spans="1:18" ht="15.95" customHeight="1" x14ac:dyDescent="0.25">
      <c r="A127" s="47"/>
      <c r="B127" s="55"/>
      <c r="C127" s="9"/>
      <c r="D127" s="136"/>
      <c r="E127" s="56"/>
      <c r="F127" s="57"/>
      <c r="G127" s="72">
        <v>46190</v>
      </c>
      <c r="H127" s="127">
        <v>25</v>
      </c>
      <c r="I127" s="73"/>
      <c r="J127" s="73">
        <v>28</v>
      </c>
      <c r="K127" s="127">
        <f t="shared" si="67"/>
        <v>50</v>
      </c>
      <c r="L127" s="127">
        <v>25</v>
      </c>
      <c r="M127" s="127">
        <v>75</v>
      </c>
      <c r="N127" s="127">
        <v>75</v>
      </c>
      <c r="O127" s="127">
        <v>75</v>
      </c>
      <c r="P127" s="78">
        <f t="shared" si="89"/>
        <v>300</v>
      </c>
      <c r="Q127" s="78">
        <f t="shared" si="90"/>
        <v>8400</v>
      </c>
      <c r="R127" s="74" t="s">
        <v>23</v>
      </c>
    </row>
    <row r="128" spans="1:18" ht="15.95" customHeight="1" x14ac:dyDescent="0.25">
      <c r="A128" s="47"/>
      <c r="B128" s="55"/>
      <c r="C128" s="9"/>
      <c r="D128" s="136"/>
      <c r="E128" s="56"/>
      <c r="F128" s="57"/>
      <c r="G128" s="72">
        <v>46190</v>
      </c>
      <c r="H128" s="127">
        <v>26</v>
      </c>
      <c r="I128" s="73"/>
      <c r="J128" s="73">
        <v>29</v>
      </c>
      <c r="K128" s="127">
        <v>52</v>
      </c>
      <c r="L128" s="127">
        <v>26</v>
      </c>
      <c r="M128" s="127">
        <v>78</v>
      </c>
      <c r="N128" s="127">
        <v>78</v>
      </c>
      <c r="O128" s="127">
        <v>78</v>
      </c>
      <c r="P128" s="78">
        <f t="shared" si="89"/>
        <v>312</v>
      </c>
      <c r="Q128" s="78">
        <f t="shared" si="90"/>
        <v>8712</v>
      </c>
      <c r="R128" s="74" t="s">
        <v>23</v>
      </c>
    </row>
    <row r="129" spans="1:18" ht="15.95" customHeight="1" x14ac:dyDescent="0.25">
      <c r="A129" s="47"/>
      <c r="B129" s="55"/>
      <c r="C129" s="9"/>
      <c r="D129" s="136"/>
      <c r="E129" s="56"/>
      <c r="F129" s="57"/>
      <c r="G129" s="72">
        <v>46190</v>
      </c>
      <c r="H129" s="127">
        <v>25</v>
      </c>
      <c r="I129" s="73"/>
      <c r="J129" s="73">
        <v>30</v>
      </c>
      <c r="K129" s="127">
        <f t="shared" si="67"/>
        <v>50</v>
      </c>
      <c r="L129" s="127">
        <v>25</v>
      </c>
      <c r="M129" s="127">
        <v>75</v>
      </c>
      <c r="N129" s="127">
        <v>75</v>
      </c>
      <c r="O129" s="127">
        <v>75</v>
      </c>
      <c r="P129" s="78">
        <f t="shared" si="89"/>
        <v>300</v>
      </c>
      <c r="Q129" s="78">
        <f t="shared" si="90"/>
        <v>9012</v>
      </c>
      <c r="R129" s="74" t="s">
        <v>23</v>
      </c>
    </row>
    <row r="130" spans="1:18" ht="15.95" customHeight="1" x14ac:dyDescent="0.25">
      <c r="A130" s="47"/>
      <c r="B130" s="55"/>
      <c r="C130" s="9"/>
      <c r="D130" s="136"/>
      <c r="E130" s="56"/>
      <c r="F130" s="57"/>
      <c r="G130" s="72">
        <v>46190</v>
      </c>
      <c r="H130" s="127">
        <v>25</v>
      </c>
      <c r="I130" s="73"/>
      <c r="J130" s="73">
        <v>31</v>
      </c>
      <c r="K130" s="127">
        <f t="shared" si="67"/>
        <v>50</v>
      </c>
      <c r="L130" s="127">
        <v>25</v>
      </c>
      <c r="M130" s="127">
        <v>75</v>
      </c>
      <c r="N130" s="127">
        <v>75</v>
      </c>
      <c r="O130" s="127">
        <v>75</v>
      </c>
      <c r="P130" s="78">
        <f t="shared" ref="P130:P131" si="91">IF(G130="","",SUM(K130:O130))</f>
        <v>300</v>
      </c>
      <c r="Q130" s="78">
        <f t="shared" ref="Q130:Q131" si="92">IF(P130="","",Q129+P130)</f>
        <v>9312</v>
      </c>
      <c r="R130" s="74" t="s">
        <v>23</v>
      </c>
    </row>
    <row r="131" spans="1:18" ht="15.95" customHeight="1" x14ac:dyDescent="0.25">
      <c r="A131" s="47"/>
      <c r="B131" s="55"/>
      <c r="C131" s="9"/>
      <c r="D131" s="136"/>
      <c r="E131" s="56"/>
      <c r="F131" s="57"/>
      <c r="G131" s="72">
        <v>46191</v>
      </c>
      <c r="H131" s="127">
        <v>25</v>
      </c>
      <c r="I131" s="73"/>
      <c r="J131" s="73">
        <v>32</v>
      </c>
      <c r="K131" s="127">
        <f t="shared" si="67"/>
        <v>50</v>
      </c>
      <c r="L131" s="127">
        <v>25</v>
      </c>
      <c r="M131" s="127">
        <v>75</v>
      </c>
      <c r="N131" s="127">
        <v>75</v>
      </c>
      <c r="O131" s="127">
        <v>75</v>
      </c>
      <c r="P131" s="78">
        <f t="shared" si="91"/>
        <v>300</v>
      </c>
      <c r="Q131" s="78">
        <f t="shared" si="92"/>
        <v>9612</v>
      </c>
      <c r="R131" s="74" t="s">
        <v>23</v>
      </c>
    </row>
    <row r="132" spans="1:18" ht="15.95" customHeight="1" x14ac:dyDescent="0.25">
      <c r="A132" s="47"/>
      <c r="B132" s="55"/>
      <c r="C132" s="9"/>
      <c r="D132" s="136"/>
      <c r="E132" s="56"/>
      <c r="F132" s="57"/>
      <c r="G132" s="72">
        <v>46191</v>
      </c>
      <c r="H132" s="127">
        <v>25</v>
      </c>
      <c r="I132" s="73"/>
      <c r="J132" s="73">
        <v>33</v>
      </c>
      <c r="K132" s="127">
        <f t="shared" si="67"/>
        <v>50</v>
      </c>
      <c r="L132" s="127">
        <v>25</v>
      </c>
      <c r="M132" s="127">
        <v>75</v>
      </c>
      <c r="N132" s="127">
        <v>75</v>
      </c>
      <c r="O132" s="127">
        <v>75</v>
      </c>
      <c r="P132" s="78">
        <f t="shared" ref="P132:P134" si="93">IF(G132="","",SUM(K132:O132))</f>
        <v>300</v>
      </c>
      <c r="Q132" s="78">
        <f t="shared" ref="Q132:Q134" si="94">IF(P132="","",Q131+P132)</f>
        <v>9912</v>
      </c>
      <c r="R132" s="74" t="s">
        <v>23</v>
      </c>
    </row>
    <row r="133" spans="1:18" ht="15.95" customHeight="1" x14ac:dyDescent="0.25">
      <c r="A133" s="47"/>
      <c r="B133" s="55"/>
      <c r="C133" s="9"/>
      <c r="D133" s="136"/>
      <c r="E133" s="56"/>
      <c r="F133" s="57"/>
      <c r="G133" s="72">
        <v>46191</v>
      </c>
      <c r="H133" s="127">
        <v>25</v>
      </c>
      <c r="I133" s="73"/>
      <c r="J133" s="73">
        <v>34</v>
      </c>
      <c r="K133" s="127">
        <f t="shared" si="67"/>
        <v>50</v>
      </c>
      <c r="L133" s="127">
        <v>25</v>
      </c>
      <c r="M133" s="127">
        <v>75</v>
      </c>
      <c r="N133" s="127">
        <v>75</v>
      </c>
      <c r="O133" s="127">
        <v>75</v>
      </c>
      <c r="P133" s="78">
        <f t="shared" si="93"/>
        <v>300</v>
      </c>
      <c r="Q133" s="78">
        <f t="shared" si="94"/>
        <v>10212</v>
      </c>
      <c r="R133" s="74" t="s">
        <v>23</v>
      </c>
    </row>
    <row r="134" spans="1:18" ht="15.95" customHeight="1" x14ac:dyDescent="0.25">
      <c r="A134" s="47"/>
      <c r="B134" s="55"/>
      <c r="C134" s="9"/>
      <c r="D134" s="136"/>
      <c r="E134" s="56"/>
      <c r="F134" s="57"/>
      <c r="G134" s="72">
        <v>46191</v>
      </c>
      <c r="H134" s="127">
        <v>25</v>
      </c>
      <c r="I134" s="73"/>
      <c r="J134" s="73">
        <v>35</v>
      </c>
      <c r="K134" s="127">
        <f t="shared" si="67"/>
        <v>50</v>
      </c>
      <c r="L134" s="127">
        <v>25</v>
      </c>
      <c r="M134" s="127">
        <v>75</v>
      </c>
      <c r="N134" s="127">
        <v>75</v>
      </c>
      <c r="O134" s="127">
        <v>75</v>
      </c>
      <c r="P134" s="78">
        <f t="shared" si="93"/>
        <v>300</v>
      </c>
      <c r="Q134" s="78">
        <f t="shared" si="94"/>
        <v>10512</v>
      </c>
      <c r="R134" s="74" t="s">
        <v>23</v>
      </c>
    </row>
    <row r="135" spans="1:18" ht="15.95" customHeight="1" x14ac:dyDescent="0.25">
      <c r="A135" s="47"/>
      <c r="B135" s="55"/>
      <c r="C135" s="9"/>
      <c r="D135" s="136"/>
      <c r="E135" s="56"/>
      <c r="F135" s="57"/>
      <c r="G135" s="72">
        <v>46191</v>
      </c>
      <c r="H135" s="127">
        <v>25</v>
      </c>
      <c r="I135" s="73"/>
      <c r="J135" s="73">
        <v>36</v>
      </c>
      <c r="K135" s="127">
        <f t="shared" si="67"/>
        <v>50</v>
      </c>
      <c r="L135" s="127">
        <v>25</v>
      </c>
      <c r="M135" s="127">
        <v>75</v>
      </c>
      <c r="N135" s="127">
        <v>75</v>
      </c>
      <c r="O135" s="127">
        <v>75</v>
      </c>
      <c r="P135" s="78">
        <f t="shared" ref="P135:P137" si="95">IF(G135="","",SUM(K135:O135))</f>
        <v>300</v>
      </c>
      <c r="Q135" s="78">
        <f t="shared" ref="Q135:Q137" si="96">IF(P135="","",Q134+P135)</f>
        <v>10812</v>
      </c>
      <c r="R135" s="74" t="s">
        <v>23</v>
      </c>
    </row>
    <row r="136" spans="1:18" ht="15.95" customHeight="1" x14ac:dyDescent="0.25">
      <c r="A136" s="47"/>
      <c r="B136" s="55"/>
      <c r="C136" s="9"/>
      <c r="D136" s="136"/>
      <c r="E136" s="56"/>
      <c r="F136" s="57"/>
      <c r="G136" s="72">
        <v>46191</v>
      </c>
      <c r="H136" s="127">
        <v>25</v>
      </c>
      <c r="I136" s="73"/>
      <c r="J136" s="73">
        <v>37</v>
      </c>
      <c r="K136" s="127">
        <f t="shared" si="67"/>
        <v>50</v>
      </c>
      <c r="L136" s="127">
        <v>25</v>
      </c>
      <c r="M136" s="127">
        <v>75</v>
      </c>
      <c r="N136" s="127">
        <v>75</v>
      </c>
      <c r="O136" s="127">
        <v>75</v>
      </c>
      <c r="P136" s="78">
        <f t="shared" si="95"/>
        <v>300</v>
      </c>
      <c r="Q136" s="78">
        <f t="shared" si="96"/>
        <v>11112</v>
      </c>
      <c r="R136" s="74" t="s">
        <v>23</v>
      </c>
    </row>
    <row r="137" spans="1:18" ht="15.95" customHeight="1" x14ac:dyDescent="0.25">
      <c r="A137" s="47"/>
      <c r="B137" s="55"/>
      <c r="C137" s="9"/>
      <c r="D137" s="136"/>
      <c r="E137" s="56"/>
      <c r="F137" s="57"/>
      <c r="G137" s="72">
        <v>46191</v>
      </c>
      <c r="H137" s="127">
        <v>25</v>
      </c>
      <c r="I137" s="73"/>
      <c r="J137" s="73">
        <v>38</v>
      </c>
      <c r="K137" s="127">
        <f t="shared" si="67"/>
        <v>50</v>
      </c>
      <c r="L137" s="127">
        <v>25</v>
      </c>
      <c r="M137" s="127">
        <v>75</v>
      </c>
      <c r="N137" s="127">
        <v>75</v>
      </c>
      <c r="O137" s="127">
        <v>75</v>
      </c>
      <c r="P137" s="78">
        <f t="shared" si="95"/>
        <v>300</v>
      </c>
      <c r="Q137" s="78">
        <f t="shared" si="96"/>
        <v>11412</v>
      </c>
      <c r="R137" s="74" t="s">
        <v>23</v>
      </c>
    </row>
    <row r="138" spans="1:18" ht="15.95" customHeight="1" x14ac:dyDescent="0.25">
      <c r="A138" s="47"/>
      <c r="B138" s="55"/>
      <c r="C138" s="9"/>
      <c r="D138" s="136"/>
      <c r="E138" s="56"/>
      <c r="F138" s="57"/>
      <c r="G138" s="72">
        <v>46193</v>
      </c>
      <c r="H138" s="127">
        <v>25</v>
      </c>
      <c r="I138" s="73"/>
      <c r="J138" s="73">
        <v>39</v>
      </c>
      <c r="K138" s="127">
        <f t="shared" si="67"/>
        <v>50</v>
      </c>
      <c r="L138" s="127">
        <v>25</v>
      </c>
      <c r="M138" s="127">
        <v>75</v>
      </c>
      <c r="N138" s="127">
        <v>75</v>
      </c>
      <c r="O138" s="127">
        <v>75</v>
      </c>
      <c r="P138" s="78">
        <f t="shared" ref="P138" si="97">IF(G138="","",SUM(K138:O138))</f>
        <v>300</v>
      </c>
      <c r="Q138" s="78">
        <f>IF(P138="","",Q137+P138)</f>
        <v>11712</v>
      </c>
      <c r="R138" s="74" t="s">
        <v>23</v>
      </c>
    </row>
    <row r="139" spans="1:18" ht="15.95" customHeight="1" x14ac:dyDescent="0.25">
      <c r="A139" s="47"/>
      <c r="B139" s="55"/>
      <c r="C139" s="9"/>
      <c r="D139" s="136"/>
      <c r="E139" s="56"/>
      <c r="F139" s="57"/>
      <c r="G139" s="72">
        <v>46193</v>
      </c>
      <c r="H139" s="127">
        <v>25</v>
      </c>
      <c r="I139" s="73"/>
      <c r="J139" s="73">
        <v>40</v>
      </c>
      <c r="K139" s="127">
        <f t="shared" si="67"/>
        <v>50</v>
      </c>
      <c r="L139" s="127">
        <v>25</v>
      </c>
      <c r="M139" s="127">
        <v>75</v>
      </c>
      <c r="N139" s="127">
        <v>75</v>
      </c>
      <c r="O139" s="127">
        <v>75</v>
      </c>
      <c r="P139" s="78">
        <f t="shared" ref="P139:P140" si="98">IF(G139="","",SUM(K139:O139))</f>
        <v>300</v>
      </c>
      <c r="Q139" s="78">
        <f t="shared" ref="Q139:Q140" si="99">IF(P139="","",Q138+P139)</f>
        <v>12012</v>
      </c>
      <c r="R139" s="74" t="s">
        <v>23</v>
      </c>
    </row>
    <row r="140" spans="1:18" ht="15.95" customHeight="1" x14ac:dyDescent="0.25">
      <c r="A140" s="47"/>
      <c r="B140" s="55"/>
      <c r="C140" s="9"/>
      <c r="D140" s="136"/>
      <c r="E140" s="56"/>
      <c r="F140" s="57"/>
      <c r="G140" s="72">
        <v>46193</v>
      </c>
      <c r="H140" s="127">
        <v>25</v>
      </c>
      <c r="I140" s="73"/>
      <c r="J140" s="73">
        <v>41</v>
      </c>
      <c r="K140" s="127">
        <f t="shared" si="67"/>
        <v>50</v>
      </c>
      <c r="L140" s="127">
        <v>25</v>
      </c>
      <c r="M140" s="127">
        <v>75</v>
      </c>
      <c r="N140" s="127">
        <v>75</v>
      </c>
      <c r="O140" s="127">
        <v>75</v>
      </c>
      <c r="P140" s="78">
        <f t="shared" si="98"/>
        <v>300</v>
      </c>
      <c r="Q140" s="78">
        <f t="shared" si="99"/>
        <v>12312</v>
      </c>
      <c r="R140" s="74" t="s">
        <v>23</v>
      </c>
    </row>
    <row r="141" spans="1:18" ht="15.95" customHeight="1" x14ac:dyDescent="0.25">
      <c r="A141" s="47"/>
      <c r="B141" s="55"/>
      <c r="C141" s="9"/>
      <c r="D141" s="136"/>
      <c r="E141" s="56"/>
      <c r="F141" s="57"/>
      <c r="G141" s="72">
        <v>46193</v>
      </c>
      <c r="H141" s="127">
        <v>25</v>
      </c>
      <c r="I141" s="73"/>
      <c r="J141" s="73">
        <v>42</v>
      </c>
      <c r="K141" s="127">
        <f t="shared" si="67"/>
        <v>50</v>
      </c>
      <c r="L141" s="127">
        <v>25</v>
      </c>
      <c r="M141" s="127">
        <v>75</v>
      </c>
      <c r="N141" s="127">
        <v>75</v>
      </c>
      <c r="O141" s="127">
        <v>75</v>
      </c>
      <c r="P141" s="78">
        <f t="shared" ref="P141" si="100">IF(G141="","",SUM(K141:O141))</f>
        <v>300</v>
      </c>
      <c r="Q141" s="78">
        <f t="shared" ref="Q141" si="101">IF(P141="","",Q140+P141)</f>
        <v>12612</v>
      </c>
      <c r="R141" s="74" t="s">
        <v>23</v>
      </c>
    </row>
    <row r="142" spans="1:18" ht="15.95" customHeight="1" x14ac:dyDescent="0.25">
      <c r="A142" s="47"/>
      <c r="B142" s="55"/>
      <c r="C142" s="9"/>
      <c r="D142" s="136"/>
      <c r="E142" s="56"/>
      <c r="F142" s="57"/>
      <c r="G142" s="72">
        <v>46193</v>
      </c>
      <c r="H142" s="127">
        <v>25</v>
      </c>
      <c r="I142" s="73"/>
      <c r="J142" s="73">
        <v>43</v>
      </c>
      <c r="K142" s="127">
        <f t="shared" si="67"/>
        <v>50</v>
      </c>
      <c r="L142" s="127">
        <v>25</v>
      </c>
      <c r="M142" s="127">
        <v>75</v>
      </c>
      <c r="N142" s="127">
        <v>75</v>
      </c>
      <c r="O142" s="127">
        <v>75</v>
      </c>
      <c r="P142" s="78">
        <f t="shared" ref="P142" si="102">IF(G142="","",SUM(K142:O142))</f>
        <v>300</v>
      </c>
      <c r="Q142" s="78">
        <f t="shared" ref="Q142" si="103">IF(P142="","",Q141+P142)</f>
        <v>12912</v>
      </c>
      <c r="R142" s="74" t="s">
        <v>23</v>
      </c>
    </row>
    <row r="143" spans="1:18" ht="15.95" customHeight="1" x14ac:dyDescent="0.25">
      <c r="A143" s="47"/>
      <c r="B143" s="55"/>
      <c r="C143" s="9"/>
      <c r="D143" s="136"/>
      <c r="E143" s="56"/>
      <c r="F143" s="57"/>
      <c r="G143" s="72">
        <v>46193</v>
      </c>
      <c r="H143" s="127">
        <v>25</v>
      </c>
      <c r="I143" s="73"/>
      <c r="J143" s="73">
        <v>44</v>
      </c>
      <c r="K143" s="127">
        <f t="shared" si="67"/>
        <v>50</v>
      </c>
      <c r="L143" s="127">
        <v>25</v>
      </c>
      <c r="M143" s="127">
        <v>75</v>
      </c>
      <c r="N143" s="127">
        <v>75</v>
      </c>
      <c r="O143" s="127">
        <v>75</v>
      </c>
      <c r="P143" s="78">
        <f t="shared" ref="P143:P144" si="104">IF(G143="","",SUM(K143:O143))</f>
        <v>300</v>
      </c>
      <c r="Q143" s="78">
        <f t="shared" ref="Q143:Q144" si="105">IF(P143="","",Q142+P143)</f>
        <v>13212</v>
      </c>
      <c r="R143" s="74" t="s">
        <v>23</v>
      </c>
    </row>
    <row r="144" spans="1:18" ht="15.95" customHeight="1" x14ac:dyDescent="0.25">
      <c r="A144" s="47"/>
      <c r="B144" s="55"/>
      <c r="C144" s="9"/>
      <c r="D144" s="136"/>
      <c r="E144" s="56"/>
      <c r="F144" s="57"/>
      <c r="G144" s="72">
        <v>46193</v>
      </c>
      <c r="H144" s="127">
        <v>25</v>
      </c>
      <c r="I144" s="73"/>
      <c r="J144" s="73">
        <v>45</v>
      </c>
      <c r="K144" s="127">
        <f t="shared" si="67"/>
        <v>50</v>
      </c>
      <c r="L144" s="127">
        <v>25</v>
      </c>
      <c r="M144" s="127">
        <v>75</v>
      </c>
      <c r="N144" s="127">
        <v>75</v>
      </c>
      <c r="O144" s="127">
        <v>75</v>
      </c>
      <c r="P144" s="78">
        <f t="shared" si="104"/>
        <v>300</v>
      </c>
      <c r="Q144" s="78">
        <f t="shared" si="105"/>
        <v>13512</v>
      </c>
      <c r="R144" s="74" t="s">
        <v>23</v>
      </c>
    </row>
    <row r="145" spans="1:18" ht="15.95" customHeight="1" x14ac:dyDescent="0.25">
      <c r="A145" s="47"/>
      <c r="B145" s="55"/>
      <c r="C145" s="9"/>
      <c r="D145" s="136"/>
      <c r="E145" s="56"/>
      <c r="F145" s="57"/>
      <c r="G145" s="72">
        <v>46194</v>
      </c>
      <c r="H145" s="127">
        <v>25</v>
      </c>
      <c r="I145" s="73"/>
      <c r="J145" s="73">
        <v>46</v>
      </c>
      <c r="K145" s="127">
        <f t="shared" si="67"/>
        <v>50</v>
      </c>
      <c r="L145" s="127">
        <v>25</v>
      </c>
      <c r="M145" s="127">
        <v>75</v>
      </c>
      <c r="N145" s="127">
        <v>75</v>
      </c>
      <c r="O145" s="127">
        <v>75</v>
      </c>
      <c r="P145" s="78">
        <f t="shared" ref="P145:P147" si="106">IF(G145="","",SUM(K145:O145))</f>
        <v>300</v>
      </c>
      <c r="Q145" s="78">
        <f t="shared" ref="Q145:Q147" si="107">IF(P145="","",Q144+P145)</f>
        <v>13812</v>
      </c>
      <c r="R145" s="74" t="s">
        <v>23</v>
      </c>
    </row>
    <row r="146" spans="1:18" ht="15.95" customHeight="1" x14ac:dyDescent="0.25">
      <c r="A146" s="47"/>
      <c r="B146" s="55"/>
      <c r="C146" s="9"/>
      <c r="D146" s="136"/>
      <c r="E146" s="56"/>
      <c r="F146" s="57"/>
      <c r="G146" s="72">
        <v>46194</v>
      </c>
      <c r="H146" s="127">
        <v>25</v>
      </c>
      <c r="I146" s="73"/>
      <c r="J146" s="73">
        <v>47</v>
      </c>
      <c r="K146" s="127">
        <f t="shared" si="67"/>
        <v>50</v>
      </c>
      <c r="L146" s="127">
        <v>25</v>
      </c>
      <c r="M146" s="127">
        <v>75</v>
      </c>
      <c r="N146" s="127">
        <v>75</v>
      </c>
      <c r="O146" s="127">
        <v>75</v>
      </c>
      <c r="P146" s="78">
        <f t="shared" si="106"/>
        <v>300</v>
      </c>
      <c r="Q146" s="78">
        <f t="shared" si="107"/>
        <v>14112</v>
      </c>
      <c r="R146" s="74" t="s">
        <v>23</v>
      </c>
    </row>
    <row r="147" spans="1:18" ht="15.95" customHeight="1" x14ac:dyDescent="0.25">
      <c r="A147" s="47"/>
      <c r="B147" s="55"/>
      <c r="C147" s="9"/>
      <c r="D147" s="136"/>
      <c r="E147" s="56"/>
      <c r="F147" s="57"/>
      <c r="G147" s="72">
        <v>46194</v>
      </c>
      <c r="H147" s="127">
        <v>25</v>
      </c>
      <c r="I147" s="73"/>
      <c r="J147" s="73">
        <v>48</v>
      </c>
      <c r="K147" s="127">
        <f t="shared" si="67"/>
        <v>50</v>
      </c>
      <c r="L147" s="127">
        <v>25</v>
      </c>
      <c r="M147" s="127">
        <v>75</v>
      </c>
      <c r="N147" s="127">
        <v>75</v>
      </c>
      <c r="O147" s="127">
        <v>75</v>
      </c>
      <c r="P147" s="78">
        <f t="shared" si="106"/>
        <v>300</v>
      </c>
      <c r="Q147" s="78">
        <f t="shared" si="107"/>
        <v>14412</v>
      </c>
      <c r="R147" s="74" t="s">
        <v>23</v>
      </c>
    </row>
    <row r="148" spans="1:18" ht="15.95" customHeight="1" x14ac:dyDescent="0.25">
      <c r="A148" s="47"/>
      <c r="B148" s="55"/>
      <c r="C148" s="9"/>
      <c r="D148" s="136"/>
      <c r="E148" s="56"/>
      <c r="F148" s="57"/>
      <c r="G148" s="72">
        <v>46194</v>
      </c>
      <c r="H148" s="127">
        <v>25</v>
      </c>
      <c r="I148" s="73"/>
      <c r="J148" s="73">
        <v>49</v>
      </c>
      <c r="K148" s="127">
        <f t="shared" si="67"/>
        <v>50</v>
      </c>
      <c r="L148" s="127">
        <v>25</v>
      </c>
      <c r="M148" s="127">
        <v>75</v>
      </c>
      <c r="N148" s="127">
        <v>75</v>
      </c>
      <c r="O148" s="127">
        <v>75</v>
      </c>
      <c r="P148" s="78">
        <f t="shared" ref="P148:P149" si="108">IF(G148="","",SUM(K148:O148))</f>
        <v>300</v>
      </c>
      <c r="Q148" s="78">
        <f t="shared" ref="Q148:Q149" si="109">IF(P148="","",Q147+P148)</f>
        <v>14712</v>
      </c>
      <c r="R148" s="74" t="s">
        <v>23</v>
      </c>
    </row>
    <row r="149" spans="1:18" ht="15.95" customHeight="1" x14ac:dyDescent="0.25">
      <c r="A149" s="47"/>
      <c r="B149" s="55"/>
      <c r="C149" s="9"/>
      <c r="D149" s="136"/>
      <c r="E149" s="56"/>
      <c r="F149" s="57"/>
      <c r="G149" s="72">
        <v>46194</v>
      </c>
      <c r="H149" s="127">
        <v>25</v>
      </c>
      <c r="I149" s="73"/>
      <c r="J149" s="73">
        <v>50</v>
      </c>
      <c r="K149" s="127">
        <f t="shared" si="67"/>
        <v>50</v>
      </c>
      <c r="L149" s="127">
        <v>25</v>
      </c>
      <c r="M149" s="127">
        <v>75</v>
      </c>
      <c r="N149" s="127">
        <v>75</v>
      </c>
      <c r="O149" s="127">
        <v>75</v>
      </c>
      <c r="P149" s="78">
        <f t="shared" si="108"/>
        <v>300</v>
      </c>
      <c r="Q149" s="78">
        <f t="shared" si="109"/>
        <v>15012</v>
      </c>
      <c r="R149" s="74" t="s">
        <v>23</v>
      </c>
    </row>
    <row r="150" spans="1:18" ht="15.95" customHeight="1" x14ac:dyDescent="0.25">
      <c r="A150" s="47"/>
      <c r="B150" s="55"/>
      <c r="C150" s="9"/>
      <c r="D150" s="136"/>
      <c r="E150" s="56"/>
      <c r="F150" s="57"/>
      <c r="G150" s="72">
        <v>46194</v>
      </c>
      <c r="H150" s="127">
        <v>25</v>
      </c>
      <c r="I150" s="73"/>
      <c r="J150" s="73">
        <v>51</v>
      </c>
      <c r="K150" s="127">
        <f t="shared" si="67"/>
        <v>50</v>
      </c>
      <c r="L150" s="127">
        <v>25</v>
      </c>
      <c r="M150" s="127">
        <v>75</v>
      </c>
      <c r="N150" s="127">
        <v>75</v>
      </c>
      <c r="O150" s="127">
        <v>75</v>
      </c>
      <c r="P150" s="78">
        <f t="shared" ref="P150:P151" si="110">IF(G150="","",SUM(K150:O150))</f>
        <v>300</v>
      </c>
      <c r="Q150" s="78">
        <f t="shared" ref="Q150:Q151" si="111">IF(P150="","",Q149+P150)</f>
        <v>15312</v>
      </c>
      <c r="R150" s="74" t="s">
        <v>23</v>
      </c>
    </row>
    <row r="151" spans="1:18" ht="15.95" customHeight="1" x14ac:dyDescent="0.25">
      <c r="A151" s="47"/>
      <c r="B151" s="55"/>
      <c r="C151" s="9"/>
      <c r="D151" s="136"/>
      <c r="E151" s="56"/>
      <c r="F151" s="57"/>
      <c r="G151" s="72">
        <v>46194</v>
      </c>
      <c r="H151" s="127">
        <v>25</v>
      </c>
      <c r="I151" s="73"/>
      <c r="J151" s="73">
        <v>52</v>
      </c>
      <c r="K151" s="127">
        <f t="shared" si="67"/>
        <v>50</v>
      </c>
      <c r="L151" s="127">
        <v>25</v>
      </c>
      <c r="M151" s="127">
        <v>75</v>
      </c>
      <c r="N151" s="127">
        <v>75</v>
      </c>
      <c r="O151" s="127">
        <v>75</v>
      </c>
      <c r="P151" s="78">
        <f t="shared" si="110"/>
        <v>300</v>
      </c>
      <c r="Q151" s="78">
        <f t="shared" si="111"/>
        <v>15612</v>
      </c>
      <c r="R151" s="74" t="s">
        <v>23</v>
      </c>
    </row>
    <row r="152" spans="1:18" ht="15.95" customHeight="1" x14ac:dyDescent="0.25">
      <c r="A152" s="47"/>
      <c r="B152" s="55"/>
      <c r="C152" s="9"/>
      <c r="D152" s="136"/>
      <c r="E152" s="56"/>
      <c r="F152" s="57"/>
      <c r="G152" s="72">
        <v>46194</v>
      </c>
      <c r="H152" s="127">
        <v>18</v>
      </c>
      <c r="I152" s="73"/>
      <c r="J152" s="73">
        <v>53</v>
      </c>
      <c r="K152" s="127">
        <v>36</v>
      </c>
      <c r="L152" s="127">
        <v>18</v>
      </c>
      <c r="M152" s="127">
        <f>18*3</f>
        <v>54</v>
      </c>
      <c r="N152" s="127">
        <f t="shared" ref="N152:O152" si="112">18*3</f>
        <v>54</v>
      </c>
      <c r="O152" s="127">
        <f t="shared" si="112"/>
        <v>54</v>
      </c>
      <c r="P152" s="78">
        <f t="shared" ref="P152" si="113">IF(G152="","",SUM(K152:O152))</f>
        <v>216</v>
      </c>
      <c r="Q152" s="78">
        <f t="shared" ref="Q152" si="114">IF(P152="","",Q151+P152)</f>
        <v>15828</v>
      </c>
      <c r="R152" s="74" t="s">
        <v>23</v>
      </c>
    </row>
    <row r="153" spans="1:18" ht="15.95" customHeight="1" thickBot="1" x14ac:dyDescent="0.3">
      <c r="A153" s="47"/>
      <c r="B153" s="55"/>
      <c r="C153" s="9"/>
      <c r="D153" s="136"/>
      <c r="E153" s="56"/>
      <c r="F153" s="57"/>
      <c r="G153" s="72"/>
      <c r="H153" s="127"/>
      <c r="I153" s="73"/>
      <c r="J153" s="73"/>
      <c r="K153" s="127"/>
      <c r="L153" s="127"/>
      <c r="M153" s="127"/>
      <c r="N153" s="127"/>
      <c r="O153" s="127"/>
      <c r="P153" s="78" t="str">
        <f t="shared" ref="P153" si="115">IF(G153="","",SUM(K153:O153))</f>
        <v/>
      </c>
      <c r="Q153" s="78" t="str">
        <f t="shared" ref="Q153" si="116">IF(P153="","",Q152+P153)</f>
        <v/>
      </c>
      <c r="R153" s="74"/>
    </row>
    <row r="154" spans="1:18" ht="19.5" customHeight="1" thickBot="1" x14ac:dyDescent="0.3">
      <c r="A154" s="48"/>
      <c r="B154" s="58"/>
      <c r="C154" s="58"/>
      <c r="D154" s="138"/>
      <c r="E154" s="59"/>
      <c r="F154" s="58"/>
      <c r="G154" s="19"/>
      <c r="H154" s="20"/>
      <c r="I154" s="21"/>
      <c r="J154" s="22" t="s">
        <v>11</v>
      </c>
      <c r="K154" s="38">
        <f>SUM(K100:K153)</f>
        <v>2638</v>
      </c>
      <c r="L154" s="38">
        <f>SUM(L100:L153)</f>
        <v>1319</v>
      </c>
      <c r="M154" s="38">
        <f>SUM(M100:M153)</f>
        <v>3957</v>
      </c>
      <c r="N154" s="38">
        <f>SUM(N100:N153)</f>
        <v>3957</v>
      </c>
      <c r="O154" s="38">
        <f>SUM(O100:O153)</f>
        <v>3957</v>
      </c>
      <c r="P154" s="38">
        <f>SUM(K154:O154)</f>
        <v>15828</v>
      </c>
      <c r="Q154" s="23"/>
      <c r="R154" s="82"/>
    </row>
    <row r="155" spans="1:18" ht="18.75" customHeight="1" thickBot="1" x14ac:dyDescent="0.3">
      <c r="A155" s="49"/>
      <c r="B155" s="60"/>
      <c r="C155" s="60"/>
      <c r="D155" s="139"/>
      <c r="E155" s="60"/>
      <c r="F155" s="60"/>
      <c r="G155" s="24"/>
      <c r="H155" s="24"/>
      <c r="I155" s="25"/>
      <c r="J155" s="26" t="s">
        <v>12</v>
      </c>
      <c r="K155" s="39">
        <f>IF(K98="","",K154-K98)</f>
        <v>26</v>
      </c>
      <c r="L155" s="39">
        <f>IF(L98="","",L154-L98)</f>
        <v>13</v>
      </c>
      <c r="M155" s="39">
        <f>IF(M98="","",M154-M98)</f>
        <v>39</v>
      </c>
      <c r="N155" s="39">
        <f>IF(N98="","",N154-N98)</f>
        <v>39</v>
      </c>
      <c r="O155" s="39">
        <f>IF(O98="","",O154-O98)</f>
        <v>39</v>
      </c>
      <c r="P155" s="39">
        <f>SUM(K155:O155)</f>
        <v>156</v>
      </c>
      <c r="Q155" s="27"/>
      <c r="R155" s="83"/>
    </row>
    <row r="156" spans="1:18" ht="18.75" customHeight="1" x14ac:dyDescent="0.25">
      <c r="A156" s="43"/>
      <c r="D156" s="140"/>
      <c r="E156" s="43"/>
      <c r="I156"/>
      <c r="J156" s="130"/>
      <c r="K156" s="131"/>
      <c r="L156" s="131"/>
      <c r="M156" s="131"/>
      <c r="N156" s="131"/>
      <c r="O156" s="131"/>
      <c r="P156" s="131"/>
      <c r="Q156" s="29"/>
    </row>
    <row r="157" spans="1:18" s="1" customFormat="1" ht="18.75" customHeight="1" thickBot="1" x14ac:dyDescent="0.35">
      <c r="A157" s="46"/>
      <c r="B157" s="41"/>
      <c r="C157" s="41"/>
      <c r="D157" s="133"/>
      <c r="E157" s="41"/>
      <c r="F157" s="41"/>
      <c r="I157" s="90" t="s">
        <v>26</v>
      </c>
      <c r="K157" s="30"/>
      <c r="L157" s="30"/>
      <c r="M157" s="30"/>
      <c r="N157" s="30"/>
      <c r="O157" s="30"/>
      <c r="P157" s="30"/>
      <c r="Q157" s="30"/>
      <c r="R157" s="81"/>
    </row>
    <row r="158" spans="1:18" s="2" customFormat="1" ht="27" customHeight="1" thickBot="1" x14ac:dyDescent="0.25">
      <c r="A158" s="91"/>
      <c r="B158" s="51"/>
      <c r="C158" s="51"/>
      <c r="D158" s="134"/>
      <c r="E158" s="52"/>
      <c r="F158" s="53"/>
      <c r="G158" s="15"/>
      <c r="H158" s="15"/>
      <c r="I158" s="15"/>
      <c r="J158" s="16" t="s">
        <v>16</v>
      </c>
      <c r="K158" s="17">
        <v>2612</v>
      </c>
      <c r="L158" s="17">
        <v>1306</v>
      </c>
      <c r="M158" s="17">
        <v>3918</v>
      </c>
      <c r="N158" s="17">
        <v>3918</v>
      </c>
      <c r="O158" s="17">
        <v>3918</v>
      </c>
      <c r="P158" s="18">
        <f>SUM(K158:O158)</f>
        <v>15672</v>
      </c>
      <c r="Q158" s="37"/>
      <c r="R158" s="76">
        <v>46215</v>
      </c>
    </row>
    <row r="159" spans="1:18" s="13" customFormat="1" ht="30.75" customHeight="1" thickBot="1" x14ac:dyDescent="0.2">
      <c r="A159" s="44" t="s">
        <v>17</v>
      </c>
      <c r="B159" s="50" t="s">
        <v>13</v>
      </c>
      <c r="C159" s="50" t="s">
        <v>14</v>
      </c>
      <c r="D159" s="135" t="s">
        <v>9</v>
      </c>
      <c r="E159" s="50" t="s">
        <v>22</v>
      </c>
      <c r="F159" s="50" t="s">
        <v>8</v>
      </c>
      <c r="G159" s="10" t="s">
        <v>7</v>
      </c>
      <c r="H159" s="10" t="s">
        <v>5</v>
      </c>
      <c r="I159" s="10" t="s">
        <v>6</v>
      </c>
      <c r="J159" s="11" t="s">
        <v>4</v>
      </c>
      <c r="K159" s="14" t="s">
        <v>28</v>
      </c>
      <c r="L159" s="14" t="s">
        <v>29</v>
      </c>
      <c r="M159" s="14" t="s">
        <v>1</v>
      </c>
      <c r="N159" s="14" t="s">
        <v>24</v>
      </c>
      <c r="O159" s="14" t="s">
        <v>25</v>
      </c>
      <c r="P159" s="12" t="s">
        <v>10</v>
      </c>
      <c r="Q159" s="12" t="s">
        <v>3</v>
      </c>
      <c r="R159" s="85" t="s">
        <v>0</v>
      </c>
    </row>
    <row r="160" spans="1:18" s="3" customFormat="1" ht="15.95" customHeight="1" x14ac:dyDescent="0.2">
      <c r="A160" s="86" t="s">
        <v>32</v>
      </c>
      <c r="B160" s="87" t="s">
        <v>31</v>
      </c>
      <c r="C160" s="87">
        <v>14225</v>
      </c>
      <c r="D160" s="87" t="s">
        <v>36</v>
      </c>
      <c r="E160" s="88">
        <f>P158</f>
        <v>15672</v>
      </c>
      <c r="F160" s="89"/>
      <c r="G160" s="4">
        <v>46195</v>
      </c>
      <c r="H160" s="5">
        <v>25</v>
      </c>
      <c r="I160" s="5"/>
      <c r="J160" s="5">
        <v>54</v>
      </c>
      <c r="K160" s="127">
        <f t="shared" ref="K160:K194" si="117">25*2</f>
        <v>50</v>
      </c>
      <c r="L160" s="127">
        <v>25</v>
      </c>
      <c r="M160" s="127">
        <v>75</v>
      </c>
      <c r="N160" s="127">
        <v>75</v>
      </c>
      <c r="O160" s="127">
        <v>75</v>
      </c>
      <c r="P160" s="78">
        <f t="shared" ref="P160:P161" si="118">IF(G160="","",SUM(K160:O160))</f>
        <v>300</v>
      </c>
      <c r="Q160" s="128">
        <f>IF(P160="","",P160)</f>
        <v>300</v>
      </c>
      <c r="R160" s="79" t="s">
        <v>23</v>
      </c>
    </row>
    <row r="161" spans="1:18" ht="15.95" customHeight="1" x14ac:dyDescent="0.25">
      <c r="A161" s="47" t="s">
        <v>37</v>
      </c>
      <c r="B161" s="55"/>
      <c r="C161" s="9"/>
      <c r="D161" s="136" t="s">
        <v>45</v>
      </c>
      <c r="E161" s="56"/>
      <c r="F161" s="57"/>
      <c r="G161" s="8">
        <v>46195</v>
      </c>
      <c r="H161" s="9">
        <v>25</v>
      </c>
      <c r="I161" s="9"/>
      <c r="J161" s="9">
        <v>55</v>
      </c>
      <c r="K161" s="127">
        <f t="shared" si="117"/>
        <v>50</v>
      </c>
      <c r="L161" s="127">
        <v>25</v>
      </c>
      <c r="M161" s="127">
        <v>75</v>
      </c>
      <c r="N161" s="127">
        <v>75</v>
      </c>
      <c r="O161" s="127">
        <v>75</v>
      </c>
      <c r="P161" s="78">
        <f t="shared" si="118"/>
        <v>300</v>
      </c>
      <c r="Q161" s="128">
        <f t="shared" ref="Q161" si="119">IF(P161="","",P161+Q160)</f>
        <v>600</v>
      </c>
      <c r="R161" s="79" t="s">
        <v>23</v>
      </c>
    </row>
    <row r="162" spans="1:18" ht="15.95" customHeight="1" x14ac:dyDescent="0.25">
      <c r="A162" s="47"/>
      <c r="B162" s="55"/>
      <c r="C162" s="9"/>
      <c r="D162" s="137"/>
      <c r="E162" s="56"/>
      <c r="F162" s="57"/>
      <c r="G162" s="8">
        <v>46195</v>
      </c>
      <c r="H162" s="9">
        <v>25</v>
      </c>
      <c r="I162" s="9"/>
      <c r="J162" s="9">
        <v>56</v>
      </c>
      <c r="K162" s="127">
        <f t="shared" si="117"/>
        <v>50</v>
      </c>
      <c r="L162" s="127">
        <v>25</v>
      </c>
      <c r="M162" s="127">
        <v>75</v>
      </c>
      <c r="N162" s="127">
        <v>75</v>
      </c>
      <c r="O162" s="127">
        <v>75</v>
      </c>
      <c r="P162" s="78">
        <f t="shared" ref="P162:P179" si="120">IF(G162="","",SUM(K162:O162))</f>
        <v>300</v>
      </c>
      <c r="Q162" s="128">
        <f t="shared" ref="Q162:Q179" si="121">IF(P162="","",P162+Q161)</f>
        <v>900</v>
      </c>
      <c r="R162" s="79" t="s">
        <v>23</v>
      </c>
    </row>
    <row r="163" spans="1:18" ht="15.95" customHeight="1" x14ac:dyDescent="0.25">
      <c r="A163" s="47"/>
      <c r="B163" s="55"/>
      <c r="C163" s="9"/>
      <c r="D163" s="136"/>
      <c r="E163" s="56"/>
      <c r="F163" s="57"/>
      <c r="G163" s="8">
        <v>46195</v>
      </c>
      <c r="H163" s="9">
        <v>25</v>
      </c>
      <c r="I163" s="9"/>
      <c r="J163" s="9">
        <v>57</v>
      </c>
      <c r="K163" s="127">
        <f t="shared" si="117"/>
        <v>50</v>
      </c>
      <c r="L163" s="127">
        <v>25</v>
      </c>
      <c r="M163" s="127">
        <v>75</v>
      </c>
      <c r="N163" s="127">
        <v>75</v>
      </c>
      <c r="O163" s="127">
        <v>75</v>
      </c>
      <c r="P163" s="78">
        <f t="shared" si="120"/>
        <v>300</v>
      </c>
      <c r="Q163" s="128">
        <f t="shared" si="121"/>
        <v>1200</v>
      </c>
      <c r="R163" s="79" t="s">
        <v>23</v>
      </c>
    </row>
    <row r="164" spans="1:18" ht="15.95" customHeight="1" x14ac:dyDescent="0.25">
      <c r="A164" s="47"/>
      <c r="B164" s="55"/>
      <c r="C164" s="9"/>
      <c r="D164" s="136"/>
      <c r="E164" s="56"/>
      <c r="F164" s="57"/>
      <c r="G164" s="72">
        <v>46196</v>
      </c>
      <c r="H164" s="9">
        <v>25</v>
      </c>
      <c r="I164" s="9"/>
      <c r="J164" s="9">
        <v>58</v>
      </c>
      <c r="K164" s="127">
        <f t="shared" si="117"/>
        <v>50</v>
      </c>
      <c r="L164" s="127">
        <v>25</v>
      </c>
      <c r="M164" s="127">
        <v>75</v>
      </c>
      <c r="N164" s="127">
        <v>75</v>
      </c>
      <c r="O164" s="127">
        <v>75</v>
      </c>
      <c r="P164" s="78">
        <f t="shared" si="120"/>
        <v>300</v>
      </c>
      <c r="Q164" s="128">
        <f t="shared" si="121"/>
        <v>1500</v>
      </c>
      <c r="R164" s="79" t="s">
        <v>23</v>
      </c>
    </row>
    <row r="165" spans="1:18" ht="15.95" customHeight="1" x14ac:dyDescent="0.25">
      <c r="A165" s="47"/>
      <c r="B165" s="55"/>
      <c r="C165" s="9"/>
      <c r="D165" s="136"/>
      <c r="E165" s="56"/>
      <c r="F165" s="57"/>
      <c r="G165" s="72">
        <v>46196</v>
      </c>
      <c r="H165" s="9">
        <v>25</v>
      </c>
      <c r="I165" s="9"/>
      <c r="J165" s="9">
        <v>59</v>
      </c>
      <c r="K165" s="127">
        <f t="shared" si="117"/>
        <v>50</v>
      </c>
      <c r="L165" s="127">
        <v>25</v>
      </c>
      <c r="M165" s="127">
        <v>75</v>
      </c>
      <c r="N165" s="127">
        <v>75</v>
      </c>
      <c r="O165" s="127">
        <v>75</v>
      </c>
      <c r="P165" s="78">
        <f t="shared" si="120"/>
        <v>300</v>
      </c>
      <c r="Q165" s="128">
        <f t="shared" si="121"/>
        <v>1800</v>
      </c>
      <c r="R165" s="79" t="s">
        <v>23</v>
      </c>
    </row>
    <row r="166" spans="1:18" ht="15.95" customHeight="1" x14ac:dyDescent="0.25">
      <c r="A166" s="47"/>
      <c r="B166" s="55"/>
      <c r="C166" s="9"/>
      <c r="D166" s="136"/>
      <c r="E166" s="56"/>
      <c r="F166" s="57"/>
      <c r="G166" s="72">
        <v>46196</v>
      </c>
      <c r="H166" s="9">
        <v>25</v>
      </c>
      <c r="I166" s="9"/>
      <c r="J166" s="9">
        <v>60</v>
      </c>
      <c r="K166" s="127">
        <f t="shared" si="117"/>
        <v>50</v>
      </c>
      <c r="L166" s="127">
        <v>25</v>
      </c>
      <c r="M166" s="127">
        <v>75</v>
      </c>
      <c r="N166" s="127">
        <v>75</v>
      </c>
      <c r="O166" s="127">
        <v>75</v>
      </c>
      <c r="P166" s="78">
        <f t="shared" si="120"/>
        <v>300</v>
      </c>
      <c r="Q166" s="128">
        <f t="shared" si="121"/>
        <v>2100</v>
      </c>
      <c r="R166" s="79" t="s">
        <v>23</v>
      </c>
    </row>
    <row r="167" spans="1:18" ht="15.95" customHeight="1" x14ac:dyDescent="0.25">
      <c r="A167" s="47"/>
      <c r="B167" s="55"/>
      <c r="C167" s="9"/>
      <c r="D167" s="136"/>
      <c r="E167" s="56"/>
      <c r="F167" s="57"/>
      <c r="G167" s="72">
        <v>46196</v>
      </c>
      <c r="H167" s="9">
        <v>25</v>
      </c>
      <c r="I167" s="9"/>
      <c r="J167" s="9">
        <v>61</v>
      </c>
      <c r="K167" s="127">
        <f t="shared" si="117"/>
        <v>50</v>
      </c>
      <c r="L167" s="127">
        <v>25</v>
      </c>
      <c r="M167" s="127">
        <v>75</v>
      </c>
      <c r="N167" s="127">
        <v>75</v>
      </c>
      <c r="O167" s="127">
        <v>75</v>
      </c>
      <c r="P167" s="78">
        <f t="shared" si="120"/>
        <v>300</v>
      </c>
      <c r="Q167" s="128">
        <f t="shared" si="121"/>
        <v>2400</v>
      </c>
      <c r="R167" s="79" t="s">
        <v>23</v>
      </c>
    </row>
    <row r="168" spans="1:18" ht="15.95" customHeight="1" x14ac:dyDescent="0.25">
      <c r="A168" s="47"/>
      <c r="B168" s="55"/>
      <c r="C168" s="9"/>
      <c r="D168" s="136"/>
      <c r="E168" s="56"/>
      <c r="F168" s="57"/>
      <c r="G168" s="72">
        <v>46197</v>
      </c>
      <c r="H168" s="73">
        <v>25</v>
      </c>
      <c r="I168" s="73"/>
      <c r="J168" s="73">
        <v>62</v>
      </c>
      <c r="K168" s="127">
        <f t="shared" si="117"/>
        <v>50</v>
      </c>
      <c r="L168" s="127">
        <v>25</v>
      </c>
      <c r="M168" s="127">
        <v>75</v>
      </c>
      <c r="N168" s="127">
        <v>75</v>
      </c>
      <c r="O168" s="127">
        <v>75</v>
      </c>
      <c r="P168" s="78">
        <f t="shared" si="120"/>
        <v>300</v>
      </c>
      <c r="Q168" s="128">
        <f t="shared" si="121"/>
        <v>2700</v>
      </c>
      <c r="R168" s="79" t="s">
        <v>23</v>
      </c>
    </row>
    <row r="169" spans="1:18" ht="15.95" customHeight="1" x14ac:dyDescent="0.25">
      <c r="A169" s="47"/>
      <c r="B169" s="55"/>
      <c r="C169" s="9"/>
      <c r="D169" s="136"/>
      <c r="E169" s="56"/>
      <c r="F169" s="57"/>
      <c r="G169" s="72">
        <v>46197</v>
      </c>
      <c r="H169" s="73">
        <v>25</v>
      </c>
      <c r="I169" s="73"/>
      <c r="J169" s="73">
        <v>63</v>
      </c>
      <c r="K169" s="127">
        <f t="shared" si="117"/>
        <v>50</v>
      </c>
      <c r="L169" s="127">
        <v>25</v>
      </c>
      <c r="M169" s="127">
        <v>75</v>
      </c>
      <c r="N169" s="127">
        <v>75</v>
      </c>
      <c r="O169" s="127">
        <v>75</v>
      </c>
      <c r="P169" s="78">
        <f t="shared" si="120"/>
        <v>300</v>
      </c>
      <c r="Q169" s="128">
        <f t="shared" si="121"/>
        <v>3000</v>
      </c>
      <c r="R169" s="79" t="s">
        <v>23</v>
      </c>
    </row>
    <row r="170" spans="1:18" ht="15.95" customHeight="1" x14ac:dyDescent="0.25">
      <c r="A170" s="47"/>
      <c r="B170" s="55"/>
      <c r="C170" s="9"/>
      <c r="D170" s="136"/>
      <c r="E170" s="56"/>
      <c r="F170" s="57"/>
      <c r="G170" s="72">
        <v>46197</v>
      </c>
      <c r="H170" s="73">
        <v>25</v>
      </c>
      <c r="I170" s="73"/>
      <c r="J170" s="73">
        <v>64</v>
      </c>
      <c r="K170" s="127">
        <f t="shared" si="117"/>
        <v>50</v>
      </c>
      <c r="L170" s="127">
        <v>25</v>
      </c>
      <c r="M170" s="127">
        <v>75</v>
      </c>
      <c r="N170" s="127">
        <v>75</v>
      </c>
      <c r="O170" s="127">
        <v>75</v>
      </c>
      <c r="P170" s="78">
        <f t="shared" si="120"/>
        <v>300</v>
      </c>
      <c r="Q170" s="128">
        <f t="shared" si="121"/>
        <v>3300</v>
      </c>
      <c r="R170" s="79" t="s">
        <v>23</v>
      </c>
    </row>
    <row r="171" spans="1:18" ht="15.95" customHeight="1" x14ac:dyDescent="0.25">
      <c r="A171" s="47"/>
      <c r="B171" s="55"/>
      <c r="C171" s="9"/>
      <c r="D171" s="136"/>
      <c r="E171" s="56"/>
      <c r="F171" s="57"/>
      <c r="G171" s="72">
        <v>46197</v>
      </c>
      <c r="H171" s="73">
        <v>25</v>
      </c>
      <c r="I171" s="73"/>
      <c r="J171" s="73">
        <v>65</v>
      </c>
      <c r="K171" s="127">
        <f t="shared" si="117"/>
        <v>50</v>
      </c>
      <c r="L171" s="127">
        <v>25</v>
      </c>
      <c r="M171" s="127">
        <v>75</v>
      </c>
      <c r="N171" s="127">
        <v>75</v>
      </c>
      <c r="O171" s="127">
        <v>75</v>
      </c>
      <c r="P171" s="78">
        <f t="shared" si="120"/>
        <v>300</v>
      </c>
      <c r="Q171" s="128">
        <f t="shared" si="121"/>
        <v>3600</v>
      </c>
      <c r="R171" s="79" t="s">
        <v>23</v>
      </c>
    </row>
    <row r="172" spans="1:18" ht="15.95" customHeight="1" x14ac:dyDescent="0.25">
      <c r="A172" s="47"/>
      <c r="B172" s="55"/>
      <c r="C172" s="9"/>
      <c r="D172" s="136"/>
      <c r="E172" s="56"/>
      <c r="F172" s="57"/>
      <c r="G172" s="72">
        <v>46197</v>
      </c>
      <c r="H172" s="73">
        <v>25</v>
      </c>
      <c r="I172" s="73"/>
      <c r="J172" s="73">
        <v>66</v>
      </c>
      <c r="K172" s="127">
        <f t="shared" si="117"/>
        <v>50</v>
      </c>
      <c r="L172" s="127">
        <v>25</v>
      </c>
      <c r="M172" s="127">
        <v>75</v>
      </c>
      <c r="N172" s="127">
        <v>75</v>
      </c>
      <c r="O172" s="127">
        <v>75</v>
      </c>
      <c r="P172" s="78">
        <f t="shared" si="120"/>
        <v>300</v>
      </c>
      <c r="Q172" s="128">
        <f t="shared" si="121"/>
        <v>3900</v>
      </c>
      <c r="R172" s="79" t="s">
        <v>23</v>
      </c>
    </row>
    <row r="173" spans="1:18" ht="15.95" customHeight="1" x14ac:dyDescent="0.25">
      <c r="A173" s="47"/>
      <c r="B173" s="55"/>
      <c r="C173" s="9"/>
      <c r="D173" s="136"/>
      <c r="E173" s="56"/>
      <c r="F173" s="57"/>
      <c r="G173" s="72">
        <v>46197</v>
      </c>
      <c r="H173" s="73">
        <v>25</v>
      </c>
      <c r="I173" s="73"/>
      <c r="J173" s="73">
        <v>67</v>
      </c>
      <c r="K173" s="127">
        <f t="shared" si="117"/>
        <v>50</v>
      </c>
      <c r="L173" s="127">
        <v>25</v>
      </c>
      <c r="M173" s="127">
        <v>75</v>
      </c>
      <c r="N173" s="127">
        <v>75</v>
      </c>
      <c r="O173" s="127">
        <v>75</v>
      </c>
      <c r="P173" s="78">
        <f t="shared" si="120"/>
        <v>300</v>
      </c>
      <c r="Q173" s="128">
        <f t="shared" si="121"/>
        <v>4200</v>
      </c>
      <c r="R173" s="79" t="s">
        <v>23</v>
      </c>
    </row>
    <row r="174" spans="1:18" ht="15.95" customHeight="1" x14ac:dyDescent="0.25">
      <c r="A174" s="47"/>
      <c r="B174" s="55"/>
      <c r="C174" s="9"/>
      <c r="D174" s="136"/>
      <c r="E174" s="56"/>
      <c r="F174" s="57"/>
      <c r="G174" s="72">
        <v>46198</v>
      </c>
      <c r="H174" s="73">
        <v>25</v>
      </c>
      <c r="I174" s="73"/>
      <c r="J174" s="73">
        <v>68</v>
      </c>
      <c r="K174" s="127">
        <f t="shared" si="117"/>
        <v>50</v>
      </c>
      <c r="L174" s="127">
        <v>25</v>
      </c>
      <c r="M174" s="127">
        <v>75</v>
      </c>
      <c r="N174" s="127">
        <v>75</v>
      </c>
      <c r="O174" s="127">
        <v>75</v>
      </c>
      <c r="P174" s="78">
        <f t="shared" si="120"/>
        <v>300</v>
      </c>
      <c r="Q174" s="128">
        <f t="shared" si="121"/>
        <v>4500</v>
      </c>
      <c r="R174" s="79" t="s">
        <v>23</v>
      </c>
    </row>
    <row r="175" spans="1:18" ht="15.95" customHeight="1" x14ac:dyDescent="0.25">
      <c r="A175" s="47"/>
      <c r="B175" s="55"/>
      <c r="C175" s="9"/>
      <c r="D175" s="136"/>
      <c r="E175" s="56"/>
      <c r="F175" s="57"/>
      <c r="G175" s="72">
        <v>46198</v>
      </c>
      <c r="H175" s="73">
        <v>25</v>
      </c>
      <c r="I175" s="73"/>
      <c r="J175" s="73">
        <v>69</v>
      </c>
      <c r="K175" s="127">
        <f t="shared" si="117"/>
        <v>50</v>
      </c>
      <c r="L175" s="127">
        <v>25</v>
      </c>
      <c r="M175" s="127">
        <v>75</v>
      </c>
      <c r="N175" s="127">
        <v>75</v>
      </c>
      <c r="O175" s="127">
        <v>75</v>
      </c>
      <c r="P175" s="78">
        <f t="shared" si="120"/>
        <v>300</v>
      </c>
      <c r="Q175" s="128">
        <f t="shared" si="121"/>
        <v>4800</v>
      </c>
      <c r="R175" s="79" t="s">
        <v>23</v>
      </c>
    </row>
    <row r="176" spans="1:18" ht="15.95" customHeight="1" x14ac:dyDescent="0.25">
      <c r="A176" s="47"/>
      <c r="B176" s="55"/>
      <c r="C176" s="9"/>
      <c r="D176" s="136"/>
      <c r="E176" s="56"/>
      <c r="F176" s="57"/>
      <c r="G176" s="72">
        <v>46198</v>
      </c>
      <c r="H176" s="73">
        <v>25</v>
      </c>
      <c r="I176" s="73"/>
      <c r="J176" s="73">
        <v>70</v>
      </c>
      <c r="K176" s="127">
        <f t="shared" si="117"/>
        <v>50</v>
      </c>
      <c r="L176" s="127">
        <v>25</v>
      </c>
      <c r="M176" s="127">
        <v>75</v>
      </c>
      <c r="N176" s="127">
        <v>75</v>
      </c>
      <c r="O176" s="127">
        <v>75</v>
      </c>
      <c r="P176" s="78">
        <f t="shared" si="120"/>
        <v>300</v>
      </c>
      <c r="Q176" s="128">
        <f t="shared" si="121"/>
        <v>5100</v>
      </c>
      <c r="R176" s="79" t="s">
        <v>23</v>
      </c>
    </row>
    <row r="177" spans="1:18" ht="15.95" customHeight="1" x14ac:dyDescent="0.25">
      <c r="A177" s="47"/>
      <c r="B177" s="55"/>
      <c r="C177" s="9"/>
      <c r="D177" s="136"/>
      <c r="E177" s="56"/>
      <c r="F177" s="57"/>
      <c r="G177" s="72">
        <v>46198</v>
      </c>
      <c r="H177" s="73">
        <v>25</v>
      </c>
      <c r="I177" s="73"/>
      <c r="J177" s="73">
        <v>71</v>
      </c>
      <c r="K177" s="127">
        <f t="shared" si="117"/>
        <v>50</v>
      </c>
      <c r="L177" s="127">
        <v>25</v>
      </c>
      <c r="M177" s="127">
        <v>75</v>
      </c>
      <c r="N177" s="127">
        <v>75</v>
      </c>
      <c r="O177" s="127">
        <v>75</v>
      </c>
      <c r="P177" s="78">
        <f t="shared" si="120"/>
        <v>300</v>
      </c>
      <c r="Q177" s="128">
        <f t="shared" si="121"/>
        <v>5400</v>
      </c>
      <c r="R177" s="79" t="s">
        <v>23</v>
      </c>
    </row>
    <row r="178" spans="1:18" ht="15.95" customHeight="1" x14ac:dyDescent="0.25">
      <c r="A178" s="47"/>
      <c r="B178" s="55"/>
      <c r="C178" s="9"/>
      <c r="D178" s="136"/>
      <c r="E178" s="56"/>
      <c r="F178" s="57"/>
      <c r="G178" s="72">
        <v>46198</v>
      </c>
      <c r="H178" s="73">
        <v>25</v>
      </c>
      <c r="I178" s="73"/>
      <c r="J178" s="73">
        <v>72</v>
      </c>
      <c r="K178" s="127">
        <f t="shared" si="117"/>
        <v>50</v>
      </c>
      <c r="L178" s="127">
        <v>25</v>
      </c>
      <c r="M178" s="127">
        <v>75</v>
      </c>
      <c r="N178" s="127">
        <v>75</v>
      </c>
      <c r="O178" s="127">
        <v>75</v>
      </c>
      <c r="P178" s="78">
        <f t="shared" si="120"/>
        <v>300</v>
      </c>
      <c r="Q178" s="128">
        <f t="shared" si="121"/>
        <v>5700</v>
      </c>
      <c r="R178" s="79" t="s">
        <v>23</v>
      </c>
    </row>
    <row r="179" spans="1:18" ht="15.95" customHeight="1" x14ac:dyDescent="0.25">
      <c r="A179" s="47"/>
      <c r="B179" s="55"/>
      <c r="C179" s="9"/>
      <c r="D179" s="136"/>
      <c r="E179" s="56"/>
      <c r="F179" s="57"/>
      <c r="G179" s="72">
        <v>46198</v>
      </c>
      <c r="H179" s="73">
        <v>25</v>
      </c>
      <c r="I179" s="73"/>
      <c r="J179" s="73">
        <v>73</v>
      </c>
      <c r="K179" s="127">
        <f t="shared" si="117"/>
        <v>50</v>
      </c>
      <c r="L179" s="127">
        <v>25</v>
      </c>
      <c r="M179" s="127">
        <v>75</v>
      </c>
      <c r="N179" s="127">
        <v>75</v>
      </c>
      <c r="O179" s="127">
        <v>75</v>
      </c>
      <c r="P179" s="78">
        <f t="shared" si="120"/>
        <v>300</v>
      </c>
      <c r="Q179" s="128">
        <f t="shared" si="121"/>
        <v>6000</v>
      </c>
      <c r="R179" s="79" t="s">
        <v>23</v>
      </c>
    </row>
    <row r="180" spans="1:18" ht="15.95" customHeight="1" x14ac:dyDescent="0.25">
      <c r="A180" s="47"/>
      <c r="B180" s="55"/>
      <c r="C180" s="9"/>
      <c r="D180" s="136"/>
      <c r="E180" s="56"/>
      <c r="F180" s="57"/>
      <c r="G180" s="72">
        <v>46200</v>
      </c>
      <c r="H180" s="73">
        <v>25</v>
      </c>
      <c r="I180" s="73"/>
      <c r="J180" s="73">
        <v>74</v>
      </c>
      <c r="K180" s="127">
        <f t="shared" si="117"/>
        <v>50</v>
      </c>
      <c r="L180" s="127">
        <v>25</v>
      </c>
      <c r="M180" s="127">
        <v>75</v>
      </c>
      <c r="N180" s="127">
        <v>75</v>
      </c>
      <c r="O180" s="127">
        <v>75</v>
      </c>
      <c r="P180" s="78">
        <f t="shared" ref="P180" si="122">IF(G180="","",SUM(K180:O180))</f>
        <v>300</v>
      </c>
      <c r="Q180" s="128">
        <f t="shared" ref="Q180" si="123">IF(P180="","",P180+Q179)</f>
        <v>6300</v>
      </c>
      <c r="R180" s="79" t="s">
        <v>23</v>
      </c>
    </row>
    <row r="181" spans="1:18" ht="15.95" customHeight="1" x14ac:dyDescent="0.25">
      <c r="A181" s="47"/>
      <c r="B181" s="55"/>
      <c r="C181" s="9"/>
      <c r="D181" s="136"/>
      <c r="E181" s="56"/>
      <c r="F181" s="57"/>
      <c r="G181" s="72">
        <v>46200</v>
      </c>
      <c r="H181" s="73">
        <v>25</v>
      </c>
      <c r="I181" s="73"/>
      <c r="J181" s="73">
        <v>75</v>
      </c>
      <c r="K181" s="127">
        <f t="shared" si="117"/>
        <v>50</v>
      </c>
      <c r="L181" s="127">
        <v>25</v>
      </c>
      <c r="M181" s="127">
        <v>75</v>
      </c>
      <c r="N181" s="127">
        <v>75</v>
      </c>
      <c r="O181" s="127">
        <v>75</v>
      </c>
      <c r="P181" s="78">
        <f t="shared" ref="P181:P184" si="124">IF(G181="","",SUM(K181:O181))</f>
        <v>300</v>
      </c>
      <c r="Q181" s="128">
        <f t="shared" ref="Q181:Q184" si="125">IF(P181="","",P181+Q180)</f>
        <v>6600</v>
      </c>
      <c r="R181" s="79" t="s">
        <v>23</v>
      </c>
    </row>
    <row r="182" spans="1:18" ht="15.95" customHeight="1" x14ac:dyDescent="0.25">
      <c r="A182" s="47"/>
      <c r="B182" s="55"/>
      <c r="C182" s="9"/>
      <c r="D182" s="136"/>
      <c r="E182" s="56"/>
      <c r="F182" s="57"/>
      <c r="G182" s="72">
        <v>46200</v>
      </c>
      <c r="H182" s="73">
        <v>25</v>
      </c>
      <c r="I182" s="73"/>
      <c r="J182" s="73">
        <v>76</v>
      </c>
      <c r="K182" s="127">
        <f t="shared" si="117"/>
        <v>50</v>
      </c>
      <c r="L182" s="127">
        <v>25</v>
      </c>
      <c r="M182" s="127">
        <v>75</v>
      </c>
      <c r="N182" s="127">
        <v>75</v>
      </c>
      <c r="O182" s="127">
        <v>75</v>
      </c>
      <c r="P182" s="78">
        <f t="shared" si="124"/>
        <v>300</v>
      </c>
      <c r="Q182" s="128">
        <f t="shared" si="125"/>
        <v>6900</v>
      </c>
      <c r="R182" s="79" t="s">
        <v>23</v>
      </c>
    </row>
    <row r="183" spans="1:18" ht="15.95" customHeight="1" x14ac:dyDescent="0.25">
      <c r="A183" s="47"/>
      <c r="B183" s="55"/>
      <c r="C183" s="9"/>
      <c r="D183" s="136"/>
      <c r="E183" s="56"/>
      <c r="F183" s="57"/>
      <c r="G183" s="72">
        <v>46200</v>
      </c>
      <c r="H183" s="73">
        <v>25</v>
      </c>
      <c r="I183" s="73"/>
      <c r="J183" s="73">
        <v>77</v>
      </c>
      <c r="K183" s="127">
        <f t="shared" si="117"/>
        <v>50</v>
      </c>
      <c r="L183" s="127">
        <v>25</v>
      </c>
      <c r="M183" s="127">
        <v>75</v>
      </c>
      <c r="N183" s="127">
        <v>75</v>
      </c>
      <c r="O183" s="127">
        <v>75</v>
      </c>
      <c r="P183" s="78">
        <f t="shared" si="124"/>
        <v>300</v>
      </c>
      <c r="Q183" s="128">
        <f t="shared" si="125"/>
        <v>7200</v>
      </c>
      <c r="R183" s="79" t="s">
        <v>23</v>
      </c>
    </row>
    <row r="184" spans="1:18" ht="15.95" customHeight="1" x14ac:dyDescent="0.25">
      <c r="A184" s="47"/>
      <c r="B184" s="55"/>
      <c r="C184" s="9"/>
      <c r="D184" s="136"/>
      <c r="E184" s="56"/>
      <c r="F184" s="57"/>
      <c r="G184" s="72">
        <v>46200</v>
      </c>
      <c r="H184" s="73">
        <v>25</v>
      </c>
      <c r="I184" s="73"/>
      <c r="J184" s="73">
        <v>78</v>
      </c>
      <c r="K184" s="127">
        <f t="shared" si="117"/>
        <v>50</v>
      </c>
      <c r="L184" s="127">
        <v>25</v>
      </c>
      <c r="M184" s="127">
        <v>75</v>
      </c>
      <c r="N184" s="127">
        <v>75</v>
      </c>
      <c r="O184" s="127">
        <v>75</v>
      </c>
      <c r="P184" s="78">
        <f t="shared" si="124"/>
        <v>300</v>
      </c>
      <c r="Q184" s="128">
        <f t="shared" si="125"/>
        <v>7500</v>
      </c>
      <c r="R184" s="79" t="s">
        <v>23</v>
      </c>
    </row>
    <row r="185" spans="1:18" ht="15.95" customHeight="1" x14ac:dyDescent="0.25">
      <c r="A185" s="47"/>
      <c r="B185" s="55"/>
      <c r="C185" s="9"/>
      <c r="D185" s="136"/>
      <c r="E185" s="56"/>
      <c r="F185" s="57"/>
      <c r="G185" s="72">
        <v>46200</v>
      </c>
      <c r="H185" s="73">
        <v>25</v>
      </c>
      <c r="I185" s="73"/>
      <c r="J185" s="73">
        <v>79</v>
      </c>
      <c r="K185" s="127">
        <f t="shared" si="117"/>
        <v>50</v>
      </c>
      <c r="L185" s="127">
        <v>25</v>
      </c>
      <c r="M185" s="127">
        <v>75</v>
      </c>
      <c r="N185" s="127">
        <v>75</v>
      </c>
      <c r="O185" s="127">
        <v>75</v>
      </c>
      <c r="P185" s="78">
        <f t="shared" ref="P185:P188" si="126">IF(G185="","",SUM(K185:O185))</f>
        <v>300</v>
      </c>
      <c r="Q185" s="128">
        <f t="shared" ref="Q185:Q188" si="127">IF(P185="","",P185+Q184)</f>
        <v>7800</v>
      </c>
      <c r="R185" s="79" t="s">
        <v>23</v>
      </c>
    </row>
    <row r="186" spans="1:18" ht="15.95" customHeight="1" x14ac:dyDescent="0.25">
      <c r="A186" s="47"/>
      <c r="B186" s="55"/>
      <c r="C186" s="9"/>
      <c r="D186" s="136"/>
      <c r="E186" s="56"/>
      <c r="F186" s="57"/>
      <c r="G186" s="72">
        <v>46200</v>
      </c>
      <c r="H186" s="73">
        <v>25</v>
      </c>
      <c r="I186" s="73"/>
      <c r="J186" s="73">
        <v>80</v>
      </c>
      <c r="K186" s="127">
        <f t="shared" si="117"/>
        <v>50</v>
      </c>
      <c r="L186" s="127">
        <v>25</v>
      </c>
      <c r="M186" s="127">
        <v>75</v>
      </c>
      <c r="N186" s="127">
        <v>75</v>
      </c>
      <c r="O186" s="127">
        <v>75</v>
      </c>
      <c r="P186" s="78">
        <f t="shared" si="126"/>
        <v>300</v>
      </c>
      <c r="Q186" s="128">
        <f t="shared" si="127"/>
        <v>8100</v>
      </c>
      <c r="R186" s="79" t="s">
        <v>23</v>
      </c>
    </row>
    <row r="187" spans="1:18" ht="15.95" customHeight="1" x14ac:dyDescent="0.25">
      <c r="A187" s="47"/>
      <c r="B187" s="55"/>
      <c r="C187" s="9"/>
      <c r="D187" s="136"/>
      <c r="E187" s="56"/>
      <c r="F187" s="57"/>
      <c r="G187" s="72">
        <v>46200</v>
      </c>
      <c r="H187" s="73">
        <v>25</v>
      </c>
      <c r="I187" s="73"/>
      <c r="J187" s="73">
        <v>81</v>
      </c>
      <c r="K187" s="127">
        <f t="shared" si="117"/>
        <v>50</v>
      </c>
      <c r="L187" s="127">
        <v>25</v>
      </c>
      <c r="M187" s="127">
        <v>75</v>
      </c>
      <c r="N187" s="127">
        <v>75</v>
      </c>
      <c r="O187" s="127">
        <v>75</v>
      </c>
      <c r="P187" s="78">
        <f t="shared" si="126"/>
        <v>300</v>
      </c>
      <c r="Q187" s="128">
        <f t="shared" si="127"/>
        <v>8400</v>
      </c>
      <c r="R187" s="79" t="s">
        <v>23</v>
      </c>
    </row>
    <row r="188" spans="1:18" ht="15.95" customHeight="1" x14ac:dyDescent="0.25">
      <c r="A188" s="47"/>
      <c r="B188" s="55"/>
      <c r="C188" s="9"/>
      <c r="D188" s="136"/>
      <c r="E188" s="56"/>
      <c r="F188" s="57"/>
      <c r="G188" s="72">
        <v>46200</v>
      </c>
      <c r="H188" s="73">
        <v>25</v>
      </c>
      <c r="I188" s="73"/>
      <c r="J188" s="73">
        <v>82</v>
      </c>
      <c r="K188" s="127">
        <f t="shared" si="117"/>
        <v>50</v>
      </c>
      <c r="L188" s="127">
        <v>25</v>
      </c>
      <c r="M188" s="127">
        <v>75</v>
      </c>
      <c r="N188" s="127">
        <v>75</v>
      </c>
      <c r="O188" s="127">
        <v>75</v>
      </c>
      <c r="P188" s="78">
        <f t="shared" si="126"/>
        <v>300</v>
      </c>
      <c r="Q188" s="128">
        <f t="shared" si="127"/>
        <v>8700</v>
      </c>
      <c r="R188" s="79" t="s">
        <v>23</v>
      </c>
    </row>
    <row r="189" spans="1:18" ht="15.95" customHeight="1" x14ac:dyDescent="0.25">
      <c r="A189" s="47"/>
      <c r="B189" s="55"/>
      <c r="C189" s="9"/>
      <c r="D189" s="136"/>
      <c r="E189" s="56"/>
      <c r="F189" s="57"/>
      <c r="G189" s="72">
        <v>46201</v>
      </c>
      <c r="H189" s="73">
        <v>25</v>
      </c>
      <c r="I189" s="73"/>
      <c r="J189" s="73">
        <v>83</v>
      </c>
      <c r="K189" s="127">
        <f t="shared" si="117"/>
        <v>50</v>
      </c>
      <c r="L189" s="127">
        <v>25</v>
      </c>
      <c r="M189" s="127">
        <v>75</v>
      </c>
      <c r="N189" s="127">
        <v>75</v>
      </c>
      <c r="O189" s="127">
        <v>75</v>
      </c>
      <c r="P189" s="78">
        <f t="shared" ref="P189" si="128">IF(G189="","",SUM(K189:O189))</f>
        <v>300</v>
      </c>
      <c r="Q189" s="128">
        <f t="shared" ref="Q189" si="129">IF(P189="","",P189+Q188)</f>
        <v>9000</v>
      </c>
      <c r="R189" s="79" t="s">
        <v>23</v>
      </c>
    </row>
    <row r="190" spans="1:18" ht="15.95" customHeight="1" x14ac:dyDescent="0.25">
      <c r="A190" s="47"/>
      <c r="B190" s="55"/>
      <c r="C190" s="9"/>
      <c r="D190" s="136"/>
      <c r="E190" s="56"/>
      <c r="F190" s="57"/>
      <c r="G190" s="72">
        <v>46201</v>
      </c>
      <c r="H190" s="73">
        <v>25</v>
      </c>
      <c r="I190" s="73"/>
      <c r="J190" s="73">
        <v>84</v>
      </c>
      <c r="K190" s="127">
        <f t="shared" si="117"/>
        <v>50</v>
      </c>
      <c r="L190" s="127">
        <v>25</v>
      </c>
      <c r="M190" s="127">
        <v>75</v>
      </c>
      <c r="N190" s="127">
        <v>75</v>
      </c>
      <c r="O190" s="127">
        <v>75</v>
      </c>
      <c r="P190" s="78">
        <f t="shared" ref="P190:P191" si="130">IF(G190="","",SUM(K190:O190))</f>
        <v>300</v>
      </c>
      <c r="Q190" s="128">
        <f t="shared" ref="Q190:Q191" si="131">IF(P190="","",P190+Q189)</f>
        <v>9300</v>
      </c>
      <c r="R190" s="79" t="s">
        <v>23</v>
      </c>
    </row>
    <row r="191" spans="1:18" ht="15.95" customHeight="1" x14ac:dyDescent="0.25">
      <c r="A191" s="47"/>
      <c r="B191" s="55"/>
      <c r="C191" s="9"/>
      <c r="D191" s="136"/>
      <c r="E191" s="56"/>
      <c r="F191" s="57"/>
      <c r="G191" s="72">
        <v>46201</v>
      </c>
      <c r="H191" s="73">
        <v>25</v>
      </c>
      <c r="I191" s="73"/>
      <c r="J191" s="73">
        <v>85</v>
      </c>
      <c r="K191" s="127">
        <f t="shared" si="117"/>
        <v>50</v>
      </c>
      <c r="L191" s="127">
        <v>25</v>
      </c>
      <c r="M191" s="127">
        <v>75</v>
      </c>
      <c r="N191" s="127">
        <v>75</v>
      </c>
      <c r="O191" s="127">
        <v>75</v>
      </c>
      <c r="P191" s="78">
        <f t="shared" si="130"/>
        <v>300</v>
      </c>
      <c r="Q191" s="128">
        <f t="shared" si="131"/>
        <v>9600</v>
      </c>
      <c r="R191" s="79" t="s">
        <v>23</v>
      </c>
    </row>
    <row r="192" spans="1:18" ht="15.95" customHeight="1" x14ac:dyDescent="0.25">
      <c r="A192" s="47"/>
      <c r="B192" s="55"/>
      <c r="C192" s="9"/>
      <c r="D192" s="136"/>
      <c r="E192" s="56"/>
      <c r="F192" s="57"/>
      <c r="G192" s="118">
        <v>46202</v>
      </c>
      <c r="H192" s="119">
        <v>25</v>
      </c>
      <c r="I192" s="119"/>
      <c r="J192" s="119">
        <v>86</v>
      </c>
      <c r="K192" s="125">
        <f t="shared" si="117"/>
        <v>50</v>
      </c>
      <c r="L192" s="125">
        <v>25</v>
      </c>
      <c r="M192" s="125">
        <v>75</v>
      </c>
      <c r="N192" s="125">
        <v>75</v>
      </c>
      <c r="O192" s="125">
        <v>75</v>
      </c>
      <c r="P192" s="120">
        <f t="shared" ref="P192" si="132">IF(G192="","",SUM(K192:O192))</f>
        <v>300</v>
      </c>
      <c r="Q192" s="163">
        <f t="shared" ref="Q192" si="133">IF(P192="","",P192+Q191)</f>
        <v>9900</v>
      </c>
      <c r="R192" s="164" t="s">
        <v>23</v>
      </c>
    </row>
    <row r="193" spans="1:18" ht="15.95" customHeight="1" x14ac:dyDescent="0.25">
      <c r="A193" s="47"/>
      <c r="B193" s="55"/>
      <c r="C193" s="9"/>
      <c r="D193" s="136"/>
      <c r="E193" s="56"/>
      <c r="F193" s="57"/>
      <c r="G193" s="118">
        <v>46202</v>
      </c>
      <c r="H193" s="119">
        <v>25</v>
      </c>
      <c r="I193" s="119"/>
      <c r="J193" s="119">
        <v>87</v>
      </c>
      <c r="K193" s="125">
        <f t="shared" si="117"/>
        <v>50</v>
      </c>
      <c r="L193" s="125">
        <v>25</v>
      </c>
      <c r="M193" s="125">
        <v>75</v>
      </c>
      <c r="N193" s="125">
        <v>75</v>
      </c>
      <c r="O193" s="125">
        <v>75</v>
      </c>
      <c r="P193" s="120">
        <f t="shared" ref="P193:P194" si="134">IF(G193="","",SUM(K193:O193))</f>
        <v>300</v>
      </c>
      <c r="Q193" s="163">
        <f t="shared" ref="Q193:Q194" si="135">IF(P193="","",P193+Q192)</f>
        <v>10200</v>
      </c>
      <c r="R193" s="164" t="s">
        <v>23</v>
      </c>
    </row>
    <row r="194" spans="1:18" ht="15.95" customHeight="1" x14ac:dyDescent="0.25">
      <c r="A194" s="47"/>
      <c r="B194" s="55"/>
      <c r="C194" s="9"/>
      <c r="D194" s="136"/>
      <c r="E194" s="56"/>
      <c r="F194" s="57"/>
      <c r="G194" s="118">
        <v>46202</v>
      </c>
      <c r="H194" s="119">
        <v>25</v>
      </c>
      <c r="I194" s="119"/>
      <c r="J194" s="119">
        <v>88</v>
      </c>
      <c r="K194" s="125">
        <f t="shared" si="117"/>
        <v>50</v>
      </c>
      <c r="L194" s="125">
        <v>25</v>
      </c>
      <c r="M194" s="125">
        <v>75</v>
      </c>
      <c r="N194" s="125">
        <v>75</v>
      </c>
      <c r="O194" s="125">
        <v>75</v>
      </c>
      <c r="P194" s="120">
        <f t="shared" si="134"/>
        <v>300</v>
      </c>
      <c r="Q194" s="163">
        <f t="shared" si="135"/>
        <v>10500</v>
      </c>
      <c r="R194" s="164" t="s">
        <v>23</v>
      </c>
    </row>
    <row r="195" spans="1:18" ht="15.95" customHeight="1" x14ac:dyDescent="0.25">
      <c r="A195" s="47"/>
      <c r="B195" s="55"/>
      <c r="C195" s="9"/>
      <c r="D195" s="136"/>
      <c r="E195" s="56"/>
      <c r="F195" s="57"/>
      <c r="G195" s="118"/>
      <c r="H195" s="165"/>
      <c r="I195" s="119"/>
      <c r="J195" s="119"/>
      <c r="K195" s="125"/>
      <c r="L195" s="125"/>
      <c r="M195" s="125"/>
      <c r="N195" s="125"/>
      <c r="O195" s="125"/>
      <c r="P195" s="120" t="str">
        <f t="shared" ref="P195:P199" si="136">IF(G195="","",SUM(K195:O195))</f>
        <v/>
      </c>
      <c r="Q195" s="163" t="str">
        <f t="shared" ref="Q195:Q199" si="137">IF(P195="","",P195+Q194)</f>
        <v/>
      </c>
      <c r="R195" s="164"/>
    </row>
    <row r="196" spans="1:18" ht="15.95" customHeight="1" x14ac:dyDescent="0.25">
      <c r="A196" s="47"/>
      <c r="B196" s="55"/>
      <c r="C196" s="9"/>
      <c r="D196" s="136"/>
      <c r="E196" s="56"/>
      <c r="F196" s="57"/>
      <c r="G196" s="118"/>
      <c r="H196" s="165"/>
      <c r="I196" s="119"/>
      <c r="J196" s="119"/>
      <c r="K196" s="125"/>
      <c r="L196" s="125"/>
      <c r="M196" s="125"/>
      <c r="N196" s="125"/>
      <c r="O196" s="125"/>
      <c r="P196" s="120" t="str">
        <f t="shared" si="136"/>
        <v/>
      </c>
      <c r="Q196" s="163" t="str">
        <f t="shared" si="137"/>
        <v/>
      </c>
      <c r="R196" s="164"/>
    </row>
    <row r="197" spans="1:18" ht="15.95" customHeight="1" x14ac:dyDescent="0.25">
      <c r="A197" s="47"/>
      <c r="B197" s="55"/>
      <c r="C197" s="9"/>
      <c r="D197" s="136"/>
      <c r="E197" s="56"/>
      <c r="F197" s="57"/>
      <c r="G197" s="118"/>
      <c r="H197" s="165"/>
      <c r="I197" s="119"/>
      <c r="J197" s="119"/>
      <c r="K197" s="125"/>
      <c r="L197" s="125"/>
      <c r="M197" s="125"/>
      <c r="N197" s="125"/>
      <c r="O197" s="125"/>
      <c r="P197" s="120" t="str">
        <f t="shared" si="136"/>
        <v/>
      </c>
      <c r="Q197" s="163" t="str">
        <f t="shared" si="137"/>
        <v/>
      </c>
      <c r="R197" s="164"/>
    </row>
    <row r="198" spans="1:18" ht="15.95" customHeight="1" x14ac:dyDescent="0.25">
      <c r="A198" s="47"/>
      <c r="B198" s="55"/>
      <c r="C198" s="9"/>
      <c r="D198" s="136"/>
      <c r="E198" s="56"/>
      <c r="F198" s="57"/>
      <c r="G198" s="118"/>
      <c r="H198" s="165"/>
      <c r="I198" s="119"/>
      <c r="J198" s="119"/>
      <c r="K198" s="125"/>
      <c r="L198" s="125"/>
      <c r="M198" s="125"/>
      <c r="N198" s="125"/>
      <c r="O198" s="125"/>
      <c r="P198" s="120" t="str">
        <f t="shared" si="136"/>
        <v/>
      </c>
      <c r="Q198" s="163" t="str">
        <f t="shared" si="137"/>
        <v/>
      </c>
      <c r="R198" s="164"/>
    </row>
    <row r="199" spans="1:18" ht="15.95" customHeight="1" thickBot="1" x14ac:dyDescent="0.3">
      <c r="A199" s="47"/>
      <c r="B199" s="55"/>
      <c r="C199" s="9"/>
      <c r="D199" s="136"/>
      <c r="E199" s="56"/>
      <c r="F199" s="57"/>
      <c r="G199" s="72"/>
      <c r="H199" s="127"/>
      <c r="I199" s="73"/>
      <c r="J199" s="73"/>
      <c r="K199" s="127"/>
      <c r="L199" s="127"/>
      <c r="M199" s="127"/>
      <c r="N199" s="127"/>
      <c r="O199" s="127"/>
      <c r="P199" s="120" t="str">
        <f t="shared" si="136"/>
        <v/>
      </c>
      <c r="Q199" s="163" t="str">
        <f t="shared" si="137"/>
        <v/>
      </c>
      <c r="R199" s="74"/>
    </row>
    <row r="200" spans="1:18" ht="19.5" customHeight="1" thickBot="1" x14ac:dyDescent="0.3">
      <c r="A200" s="48"/>
      <c r="B200" s="58"/>
      <c r="C200" s="58"/>
      <c r="D200" s="138"/>
      <c r="E200" s="59"/>
      <c r="F200" s="58"/>
      <c r="G200" s="19"/>
      <c r="H200" s="20"/>
      <c r="I200" s="21"/>
      <c r="J200" s="22" t="s">
        <v>11</v>
      </c>
      <c r="K200" s="38">
        <f>SUM(K160:K199)</f>
        <v>1750</v>
      </c>
      <c r="L200" s="38">
        <f>SUM(L160:L199)</f>
        <v>875</v>
      </c>
      <c r="M200" s="38">
        <f>SUM(M160:M199)</f>
        <v>2625</v>
      </c>
      <c r="N200" s="38">
        <f>SUM(N160:N199)</f>
        <v>2625</v>
      </c>
      <c r="O200" s="38">
        <f>SUM(O160:O199)</f>
        <v>2625</v>
      </c>
      <c r="P200" s="38">
        <f>SUM(K200:O200)</f>
        <v>10500</v>
      </c>
      <c r="Q200" s="23"/>
      <c r="R200" s="82"/>
    </row>
    <row r="201" spans="1:18" ht="18.75" customHeight="1" thickBot="1" x14ac:dyDescent="0.3">
      <c r="A201" s="49"/>
      <c r="B201" s="60"/>
      <c r="C201" s="60"/>
      <c r="D201" s="139"/>
      <c r="E201" s="60"/>
      <c r="F201" s="60"/>
      <c r="G201" s="24"/>
      <c r="H201" s="24"/>
      <c r="I201" s="25"/>
      <c r="J201" s="26" t="s">
        <v>12</v>
      </c>
      <c r="K201" s="39">
        <f>IF(K158="","",K200-K158)</f>
        <v>-862</v>
      </c>
      <c r="L201" s="39">
        <f>IF(L158="","",L200-L158)</f>
        <v>-431</v>
      </c>
      <c r="M201" s="39">
        <f>IF(M158="","",M200-M158)</f>
        <v>-1293</v>
      </c>
      <c r="N201" s="39">
        <f>IF(N158="","",N200-N158)</f>
        <v>-1293</v>
      </c>
      <c r="O201" s="39">
        <f>IF(O158="","",O200-O158)</f>
        <v>-1293</v>
      </c>
      <c r="P201" s="39">
        <f>SUM(K201:O201)</f>
        <v>-5172</v>
      </c>
      <c r="Q201" s="27"/>
      <c r="R201" s="83"/>
    </row>
    <row r="202" spans="1:18" x14ac:dyDescent="0.2">
      <c r="I202"/>
      <c r="J202" s="71">
        <v>46</v>
      </c>
      <c r="K202" s="70">
        <f t="shared" ref="K202:P202" si="138">SUM(K100:K145)</f>
        <v>2302</v>
      </c>
      <c r="L202" s="70">
        <f t="shared" si="138"/>
        <v>1151</v>
      </c>
      <c r="M202" s="70">
        <f t="shared" si="138"/>
        <v>3453</v>
      </c>
      <c r="N202" s="70">
        <f t="shared" si="138"/>
        <v>3453</v>
      </c>
      <c r="O202" s="70">
        <f t="shared" si="138"/>
        <v>3453</v>
      </c>
      <c r="P202" s="70">
        <f t="shared" si="138"/>
        <v>13812</v>
      </c>
      <c r="Q202" s="29"/>
    </row>
    <row r="203" spans="1:18" ht="15.75" customHeight="1" x14ac:dyDescent="0.2">
      <c r="I203"/>
      <c r="J203" s="63" t="s">
        <v>18</v>
      </c>
      <c r="K203" s="75">
        <f t="shared" ref="K203:P203" si="139">K38+K3+K98</f>
        <v>6746</v>
      </c>
      <c r="L203" s="75">
        <f t="shared" si="139"/>
        <v>3373</v>
      </c>
      <c r="M203" s="75">
        <f t="shared" si="139"/>
        <v>10119</v>
      </c>
      <c r="N203" s="75">
        <f t="shared" si="139"/>
        <v>10119</v>
      </c>
      <c r="O203" s="75">
        <f t="shared" si="139"/>
        <v>10119</v>
      </c>
      <c r="P203" s="75">
        <f t="shared" si="139"/>
        <v>40476</v>
      </c>
      <c r="Q203" s="29"/>
    </row>
    <row r="204" spans="1:18" ht="15.75" customHeight="1" x14ac:dyDescent="0.2">
      <c r="I204"/>
      <c r="J204" s="63" t="s">
        <v>19</v>
      </c>
      <c r="K204" s="75">
        <f t="shared" ref="K204:P204" si="140">K94+K34+K154</f>
        <v>6552</v>
      </c>
      <c r="L204" s="75">
        <f t="shared" si="140"/>
        <v>3276</v>
      </c>
      <c r="M204" s="75">
        <f t="shared" si="140"/>
        <v>9828</v>
      </c>
      <c r="N204" s="75">
        <f t="shared" si="140"/>
        <v>9828</v>
      </c>
      <c r="O204" s="75">
        <f t="shared" si="140"/>
        <v>9828</v>
      </c>
      <c r="P204" s="75">
        <f t="shared" si="140"/>
        <v>39312</v>
      </c>
      <c r="Q204" s="29"/>
    </row>
    <row r="205" spans="1:18" ht="15.75" customHeight="1" x14ac:dyDescent="0.2">
      <c r="I205"/>
      <c r="J205" s="64" t="s">
        <v>20</v>
      </c>
      <c r="K205" s="66">
        <f>K204-K203</f>
        <v>-194</v>
      </c>
      <c r="L205" s="66">
        <f t="shared" ref="L205:P205" si="141">L204-L203</f>
        <v>-97</v>
      </c>
      <c r="M205" s="66">
        <f t="shared" si="141"/>
        <v>-291</v>
      </c>
      <c r="N205" s="66">
        <f t="shared" si="141"/>
        <v>-291</v>
      </c>
      <c r="O205" s="66">
        <f t="shared" si="141"/>
        <v>-291</v>
      </c>
      <c r="P205" s="66">
        <f t="shared" si="141"/>
        <v>-1164</v>
      </c>
      <c r="Q205" s="29"/>
    </row>
    <row r="206" spans="1:18" ht="15.75" customHeight="1" x14ac:dyDescent="0.2">
      <c r="I206"/>
      <c r="J206" s="65" t="s">
        <v>21</v>
      </c>
      <c r="K206" s="68">
        <f>K205/K203</f>
        <v>-2.8757782389564186E-2</v>
      </c>
      <c r="L206" s="68">
        <f t="shared" ref="L206:P206" si="142">L205/L203</f>
        <v>-2.8757782389564186E-2</v>
      </c>
      <c r="M206" s="68">
        <f t="shared" si="142"/>
        <v>-2.8757782389564186E-2</v>
      </c>
      <c r="N206" s="68">
        <f t="shared" si="142"/>
        <v>-2.8757782389564186E-2</v>
      </c>
      <c r="O206" s="68">
        <f t="shared" si="142"/>
        <v>-2.8757782389564186E-2</v>
      </c>
      <c r="P206" s="68">
        <f t="shared" si="142"/>
        <v>-2.8757782389564186E-2</v>
      </c>
      <c r="Q206" s="29"/>
    </row>
    <row r="207" spans="1:18" ht="15.75" customHeight="1" x14ac:dyDescent="0.2">
      <c r="I207"/>
      <c r="J207" s="71"/>
      <c r="K207" s="75"/>
      <c r="L207" s="75"/>
      <c r="M207" s="75"/>
      <c r="N207" s="75"/>
      <c r="O207" s="75"/>
      <c r="P207" s="75"/>
      <c r="Q207" s="29"/>
    </row>
    <row r="208" spans="1:18" s="31" customFormat="1" ht="18.75" customHeight="1" x14ac:dyDescent="0.3">
      <c r="A208" s="45"/>
      <c r="B208" s="62"/>
      <c r="C208" s="62"/>
      <c r="D208" s="62"/>
      <c r="E208" s="62"/>
      <c r="F208" s="62"/>
      <c r="G208" s="34"/>
      <c r="H208" s="34"/>
      <c r="I208" s="35"/>
      <c r="J208" s="34"/>
      <c r="K208" s="28"/>
      <c r="L208" s="28"/>
      <c r="M208" s="28"/>
      <c r="N208" s="28"/>
      <c r="O208" s="63" t="s">
        <v>18</v>
      </c>
      <c r="P208" s="66">
        <f>P38+P3+P98+P158</f>
        <v>56148</v>
      </c>
      <c r="Q208" s="35"/>
      <c r="R208" s="84"/>
    </row>
    <row r="209" spans="1:18" ht="18" x14ac:dyDescent="0.2">
      <c r="K209" s="28"/>
      <c r="L209" s="28"/>
      <c r="M209" s="28"/>
      <c r="N209" s="28"/>
      <c r="O209" s="63" t="s">
        <v>19</v>
      </c>
      <c r="P209" s="67">
        <f>P94+P34+P154+P200</f>
        <v>49812</v>
      </c>
    </row>
    <row r="210" spans="1:18" ht="18" x14ac:dyDescent="0.2">
      <c r="K210" s="36"/>
      <c r="L210" s="36"/>
      <c r="M210" s="36"/>
      <c r="N210" s="36"/>
      <c r="O210" s="64" t="s">
        <v>20</v>
      </c>
      <c r="P210" s="66">
        <f>P209-P208</f>
        <v>-6336</v>
      </c>
    </row>
    <row r="211" spans="1:18" ht="18.75" x14ac:dyDescent="0.2">
      <c r="A211"/>
      <c r="B211"/>
      <c r="C211"/>
      <c r="D211"/>
      <c r="E211"/>
      <c r="F211"/>
      <c r="I211"/>
      <c r="K211"/>
      <c r="L211"/>
      <c r="M211"/>
      <c r="N211"/>
      <c r="O211" s="65" t="s">
        <v>21</v>
      </c>
      <c r="P211" s="68">
        <f>P210/P208</f>
        <v>-0.11284462491985467</v>
      </c>
      <c r="Q211" s="173" t="s">
        <v>15</v>
      </c>
      <c r="R211" s="173"/>
    </row>
    <row r="214" spans="1:18" ht="18" x14ac:dyDescent="0.2">
      <c r="A214"/>
      <c r="B214"/>
      <c r="C214"/>
      <c r="D214"/>
      <c r="E214"/>
      <c r="F214"/>
      <c r="I214"/>
      <c r="J214" s="1"/>
      <c r="K214"/>
      <c r="L214"/>
      <c r="M214"/>
      <c r="N214"/>
      <c r="O214" s="69"/>
      <c r="P214" s="66"/>
    </row>
    <row r="215" spans="1:18" ht="18" x14ac:dyDescent="0.2">
      <c r="A215"/>
      <c r="B215"/>
      <c r="C215"/>
      <c r="D215"/>
      <c r="E215"/>
      <c r="F215"/>
      <c r="I215"/>
      <c r="J215" s="1"/>
      <c r="K215"/>
      <c r="L215"/>
      <c r="M215"/>
      <c r="N215"/>
      <c r="P215" s="66"/>
      <c r="Q215" s="77"/>
    </row>
    <row r="216" spans="1:18" ht="18" x14ac:dyDescent="0.2">
      <c r="A216"/>
      <c r="B216"/>
      <c r="C216"/>
      <c r="D216"/>
      <c r="E216"/>
      <c r="F216"/>
      <c r="I216"/>
      <c r="J216" s="1"/>
      <c r="K216"/>
      <c r="L216"/>
      <c r="M216"/>
      <c r="N216"/>
      <c r="P216" s="66"/>
    </row>
    <row r="217" spans="1:18" ht="18" x14ac:dyDescent="0.2">
      <c r="A217"/>
      <c r="B217"/>
      <c r="C217"/>
      <c r="D217"/>
      <c r="E217"/>
      <c r="F217"/>
      <c r="I217"/>
      <c r="K217"/>
      <c r="L217"/>
      <c r="M217"/>
      <c r="N217"/>
      <c r="P217" s="68"/>
    </row>
    <row r="231" spans="10:17" x14ac:dyDescent="0.2">
      <c r="J231" s="43"/>
      <c r="K231"/>
      <c r="L231"/>
      <c r="M231"/>
      <c r="N231"/>
      <c r="O231"/>
      <c r="P231"/>
      <c r="Q231"/>
    </row>
    <row r="232" spans="10:17" x14ac:dyDescent="0.2">
      <c r="J232" s="43"/>
      <c r="K232"/>
      <c r="L232"/>
      <c r="M232"/>
      <c r="N232"/>
      <c r="O232"/>
      <c r="P232"/>
      <c r="Q232"/>
    </row>
    <row r="233" spans="10:17" x14ac:dyDescent="0.2">
      <c r="J233" s="43"/>
      <c r="K233"/>
      <c r="L233"/>
      <c r="M233"/>
      <c r="N233"/>
      <c r="O233"/>
      <c r="P233"/>
      <c r="Q233"/>
    </row>
  </sheetData>
  <mergeCells count="1">
    <mergeCell ref="Q211:R211"/>
  </mergeCells>
  <conditionalFormatting sqref="K35:P35">
    <cfRule type="cellIs" dxfId="31" priority="9" operator="lessThan">
      <formula>0</formula>
    </cfRule>
    <cfRule type="cellIs" dxfId="30" priority="10" operator="greaterThan">
      <formula>0</formula>
    </cfRule>
  </conditionalFormatting>
  <conditionalFormatting sqref="K95:P96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K155:P156">
    <cfRule type="cellIs" dxfId="27" priority="1" operator="lessThan">
      <formula>0</formula>
    </cfRule>
    <cfRule type="cellIs" dxfId="26" priority="2" operator="greaterThan">
      <formula>0</formula>
    </cfRule>
  </conditionalFormatting>
  <conditionalFormatting sqref="K201:P201">
    <cfRule type="cellIs" dxfId="25" priority="3" operator="lessThan">
      <formula>0</formula>
    </cfRule>
    <cfRule type="cellIs" dxfId="24" priority="4" operator="greaterThan">
      <formula>0</formula>
    </cfRule>
  </conditionalFormatting>
  <printOptions horizontalCentered="1" verticalCentered="1"/>
  <pageMargins left="0.25" right="0.25" top="0" bottom="0" header="0.3" footer="0.75"/>
  <pageSetup paperSize="9" scale="49" fitToHeight="0" orientation="landscape" r:id="rId1"/>
  <rowBreaks count="3" manualBreakCount="3">
    <brk id="36" max="17" man="1"/>
    <brk id="95" max="17" man="1"/>
    <brk id="156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04A9-B3D2-44C7-8B8C-D84D337179A7}">
  <dimension ref="A1:R263"/>
  <sheetViews>
    <sheetView view="pageBreakPreview" topLeftCell="A220" zoomScale="80" zoomScaleNormal="78" zoomScaleSheetLayoutView="80" workbookViewId="0">
      <selection activeCell="J226" sqref="J226"/>
    </sheetView>
  </sheetViews>
  <sheetFormatPr defaultRowHeight="18" x14ac:dyDescent="0.25"/>
  <cols>
    <col min="1" max="1" width="17.484375" style="45" customWidth="1"/>
    <col min="2" max="2" width="17.21875" style="43" customWidth="1"/>
    <col min="3" max="3" width="14.390625" style="43" customWidth="1"/>
    <col min="4" max="4" width="19.7734375" style="140" customWidth="1"/>
    <col min="5" max="5" width="13.98828125" style="61" customWidth="1"/>
    <col min="6" max="6" width="13.71875" style="43" customWidth="1"/>
    <col min="7" max="7" width="15.73828125" customWidth="1"/>
    <col min="8" max="8" width="7.80078125" customWidth="1"/>
    <col min="9" max="9" width="7.6640625" style="1" customWidth="1"/>
    <col min="10" max="10" width="8.609375" customWidth="1"/>
    <col min="11" max="15" width="9.55078125" style="1" customWidth="1"/>
    <col min="16" max="16" width="13.1796875" style="1" customWidth="1"/>
    <col min="17" max="17" width="14.52734375" style="1" customWidth="1"/>
    <col min="18" max="18" width="18.5625" style="61" customWidth="1"/>
    <col min="19" max="19" width="9.01171875" customWidth="1"/>
    <col min="21" max="25" width="9.14453125" customWidth="1"/>
  </cols>
  <sheetData>
    <row r="1" spans="1:18" s="31" customFormat="1" ht="28.5" customHeight="1" x14ac:dyDescent="0.45">
      <c r="A1" s="45"/>
      <c r="B1" s="40"/>
      <c r="C1" s="40"/>
      <c r="D1" s="132"/>
      <c r="E1" s="40"/>
      <c r="F1" s="40"/>
      <c r="I1" s="33" t="s">
        <v>27</v>
      </c>
      <c r="K1" s="32"/>
      <c r="L1" s="32"/>
      <c r="M1" s="32"/>
      <c r="N1" s="32"/>
      <c r="O1" s="32"/>
      <c r="P1" s="32"/>
      <c r="Q1" s="32"/>
      <c r="R1" s="80"/>
    </row>
    <row r="2" spans="1:18" s="1" customFormat="1" ht="18.75" customHeight="1" thickBot="1" x14ac:dyDescent="0.35">
      <c r="A2" s="46"/>
      <c r="B2" s="41"/>
      <c r="C2" s="41"/>
      <c r="D2" s="133"/>
      <c r="E2" s="41"/>
      <c r="F2" s="41"/>
      <c r="I2" s="90" t="s">
        <v>26</v>
      </c>
      <c r="K2" s="30"/>
      <c r="L2" s="30"/>
      <c r="M2" s="30"/>
      <c r="N2" s="30"/>
      <c r="O2" s="30"/>
      <c r="P2" s="30"/>
      <c r="Q2" s="30"/>
      <c r="R2" s="81"/>
    </row>
    <row r="3" spans="1:18" s="2" customFormat="1" ht="27" customHeight="1" thickBot="1" x14ac:dyDescent="0.25">
      <c r="A3" s="91"/>
      <c r="B3" s="51"/>
      <c r="C3" s="51"/>
      <c r="D3" s="134"/>
      <c r="E3" s="52"/>
      <c r="F3" s="53"/>
      <c r="G3" s="15"/>
      <c r="H3" s="15"/>
      <c r="I3" s="15"/>
      <c r="J3" s="16" t="s">
        <v>16</v>
      </c>
      <c r="K3" s="17">
        <v>1959</v>
      </c>
      <c r="L3" s="17">
        <v>1306</v>
      </c>
      <c r="M3" s="17">
        <v>1306</v>
      </c>
      <c r="N3" s="17">
        <v>1306</v>
      </c>
      <c r="O3" s="17">
        <v>1306</v>
      </c>
      <c r="P3" s="18">
        <f>SUM(K3:O3)</f>
        <v>7183</v>
      </c>
      <c r="Q3" s="37"/>
      <c r="R3" s="76"/>
    </row>
    <row r="4" spans="1:18" s="13" customFormat="1" ht="30.75" customHeight="1" thickBot="1" x14ac:dyDescent="0.2">
      <c r="A4" s="44" t="s">
        <v>17</v>
      </c>
      <c r="B4" s="50" t="s">
        <v>13</v>
      </c>
      <c r="C4" s="50" t="s">
        <v>14</v>
      </c>
      <c r="D4" s="135" t="s">
        <v>9</v>
      </c>
      <c r="E4" s="50" t="s">
        <v>22</v>
      </c>
      <c r="F4" s="50" t="s">
        <v>8</v>
      </c>
      <c r="G4" s="10" t="s">
        <v>7</v>
      </c>
      <c r="H4" s="10" t="s">
        <v>5</v>
      </c>
      <c r="I4" s="10" t="s">
        <v>6</v>
      </c>
      <c r="J4" s="11" t="s">
        <v>4</v>
      </c>
      <c r="K4" s="14" t="s">
        <v>28</v>
      </c>
      <c r="L4" s="14" t="s">
        <v>29</v>
      </c>
      <c r="M4" s="14" t="s">
        <v>1</v>
      </c>
      <c r="N4" s="14" t="s">
        <v>24</v>
      </c>
      <c r="O4" s="14" t="s">
        <v>25</v>
      </c>
      <c r="P4" s="12" t="s">
        <v>10</v>
      </c>
      <c r="Q4" s="12" t="s">
        <v>3</v>
      </c>
      <c r="R4" s="85" t="s">
        <v>0</v>
      </c>
    </row>
    <row r="5" spans="1:18" s="3" customFormat="1" ht="15.95" customHeight="1" x14ac:dyDescent="0.2">
      <c r="A5" s="86" t="s">
        <v>32</v>
      </c>
      <c r="B5" s="87" t="s">
        <v>31</v>
      </c>
      <c r="C5" s="87">
        <v>14220</v>
      </c>
      <c r="D5" s="87" t="s">
        <v>35</v>
      </c>
      <c r="E5" s="88">
        <f>P3</f>
        <v>7183</v>
      </c>
      <c r="F5" s="54"/>
      <c r="G5" s="4">
        <v>46152</v>
      </c>
      <c r="H5" s="5">
        <v>15</v>
      </c>
      <c r="I5" s="5"/>
      <c r="J5" s="5">
        <v>1</v>
      </c>
      <c r="K5" s="5">
        <v>45</v>
      </c>
      <c r="L5" s="5">
        <v>30</v>
      </c>
      <c r="M5" s="5">
        <v>30</v>
      </c>
      <c r="N5" s="5">
        <v>30</v>
      </c>
      <c r="O5" s="5">
        <v>30</v>
      </c>
      <c r="P5" s="6">
        <f>IF(G5="","",SUM(K5:O5))</f>
        <v>165</v>
      </c>
      <c r="Q5" s="7">
        <f>IF(P5="","",P5)</f>
        <v>165</v>
      </c>
      <c r="R5" s="79" t="s">
        <v>23</v>
      </c>
    </row>
    <row r="6" spans="1:18" ht="15.95" customHeight="1" x14ac:dyDescent="0.25">
      <c r="A6" s="47" t="s">
        <v>37</v>
      </c>
      <c r="B6" s="55"/>
      <c r="C6" s="9"/>
      <c r="D6" s="136" t="s">
        <v>44</v>
      </c>
      <c r="E6" s="56"/>
      <c r="F6" s="57"/>
      <c r="G6" s="8">
        <v>46153</v>
      </c>
      <c r="H6" s="9">
        <v>15</v>
      </c>
      <c r="I6" s="9"/>
      <c r="J6" s="9">
        <v>2</v>
      </c>
      <c r="K6" s="9">
        <v>45</v>
      </c>
      <c r="L6" s="9">
        <v>30</v>
      </c>
      <c r="M6" s="9">
        <v>30</v>
      </c>
      <c r="N6" s="9">
        <v>30</v>
      </c>
      <c r="O6" s="9">
        <v>30</v>
      </c>
      <c r="P6" s="6">
        <f>IF(G6="","",SUM(K6:O6))</f>
        <v>165</v>
      </c>
      <c r="Q6" s="6">
        <f>IF(P6="","",Q5+P6)</f>
        <v>330</v>
      </c>
      <c r="R6" s="42" t="s">
        <v>23</v>
      </c>
    </row>
    <row r="7" spans="1:18" ht="15.95" customHeight="1" x14ac:dyDescent="0.25">
      <c r="A7" s="47"/>
      <c r="B7" s="55"/>
      <c r="C7" s="9"/>
      <c r="D7" s="137"/>
      <c r="E7" s="56"/>
      <c r="F7" s="57"/>
      <c r="G7" s="8">
        <v>46153</v>
      </c>
      <c r="H7" s="9">
        <v>15</v>
      </c>
      <c r="I7" s="9"/>
      <c r="J7" s="9">
        <v>3</v>
      </c>
      <c r="K7" s="9">
        <v>45</v>
      </c>
      <c r="L7" s="9">
        <v>30</v>
      </c>
      <c r="M7" s="9">
        <v>30</v>
      </c>
      <c r="N7" s="9">
        <v>30</v>
      </c>
      <c r="O7" s="9">
        <v>30</v>
      </c>
      <c r="P7" s="6">
        <f t="shared" ref="P7:P9" si="0">IF(G7="","",SUM(K7:O7))</f>
        <v>165</v>
      </c>
      <c r="Q7" s="6">
        <f t="shared" ref="Q7:Q9" si="1">IF(P7="","",Q6+P7)</f>
        <v>495</v>
      </c>
      <c r="R7" s="42" t="s">
        <v>23</v>
      </c>
    </row>
    <row r="8" spans="1:18" ht="15.95" customHeight="1" x14ac:dyDescent="0.25">
      <c r="A8" s="47"/>
      <c r="B8" s="55"/>
      <c r="C8" s="9"/>
      <c r="D8" s="136"/>
      <c r="E8" s="56"/>
      <c r="F8" s="57"/>
      <c r="G8" s="72">
        <v>46154</v>
      </c>
      <c r="H8" s="73">
        <v>18</v>
      </c>
      <c r="I8" s="73"/>
      <c r="J8" s="73">
        <v>4</v>
      </c>
      <c r="K8" s="73">
        <v>54</v>
      </c>
      <c r="L8" s="73">
        <v>36</v>
      </c>
      <c r="M8" s="73">
        <v>36</v>
      </c>
      <c r="N8" s="73">
        <v>36</v>
      </c>
      <c r="O8" s="73">
        <v>36</v>
      </c>
      <c r="P8" s="6">
        <f t="shared" si="0"/>
        <v>198</v>
      </c>
      <c r="Q8" s="6">
        <f t="shared" si="1"/>
        <v>693</v>
      </c>
      <c r="R8" s="74" t="s">
        <v>23</v>
      </c>
    </row>
    <row r="9" spans="1:18" ht="15.95" customHeight="1" x14ac:dyDescent="0.25">
      <c r="A9" s="47"/>
      <c r="B9" s="55"/>
      <c r="C9" s="9"/>
      <c r="D9" s="136"/>
      <c r="E9" s="56"/>
      <c r="F9" s="57"/>
      <c r="G9" s="8">
        <v>46154</v>
      </c>
      <c r="H9" s="9">
        <v>18</v>
      </c>
      <c r="I9" s="9"/>
      <c r="J9" s="9">
        <v>5</v>
      </c>
      <c r="K9" s="9">
        <v>54</v>
      </c>
      <c r="L9" s="9">
        <v>36</v>
      </c>
      <c r="M9" s="9">
        <v>36</v>
      </c>
      <c r="N9" s="9">
        <v>36</v>
      </c>
      <c r="O9" s="9">
        <v>36</v>
      </c>
      <c r="P9" s="6">
        <f t="shared" si="0"/>
        <v>198</v>
      </c>
      <c r="Q9" s="6">
        <f t="shared" si="1"/>
        <v>891</v>
      </c>
      <c r="R9" s="42" t="s">
        <v>23</v>
      </c>
    </row>
    <row r="10" spans="1:18" ht="15.95" customHeight="1" x14ac:dyDescent="0.25">
      <c r="A10" s="47"/>
      <c r="B10" s="55"/>
      <c r="C10" s="9"/>
      <c r="D10" s="136"/>
      <c r="E10" s="56"/>
      <c r="F10" s="57"/>
      <c r="G10" s="8">
        <v>46155</v>
      </c>
      <c r="H10" s="9">
        <v>15</v>
      </c>
      <c r="I10" s="9"/>
      <c r="J10" s="73">
        <v>6</v>
      </c>
      <c r="K10" s="9">
        <v>45</v>
      </c>
      <c r="L10" s="9">
        <v>30</v>
      </c>
      <c r="M10" s="9">
        <v>30</v>
      </c>
      <c r="N10" s="9">
        <v>30</v>
      </c>
      <c r="O10" s="9">
        <v>30</v>
      </c>
      <c r="P10" s="6">
        <f t="shared" ref="P10:P12" si="2">IF(G10="","",SUM(K10:O10))</f>
        <v>165</v>
      </c>
      <c r="Q10" s="6">
        <f t="shared" ref="Q10:Q12" si="3">IF(P10="","",Q9+P10)</f>
        <v>1056</v>
      </c>
      <c r="R10" s="42" t="s">
        <v>23</v>
      </c>
    </row>
    <row r="11" spans="1:18" ht="15.95" customHeight="1" x14ac:dyDescent="0.25">
      <c r="A11" s="47"/>
      <c r="B11" s="55"/>
      <c r="C11" s="9"/>
      <c r="D11" s="136"/>
      <c r="E11" s="56"/>
      <c r="F11" s="57"/>
      <c r="G11" s="8">
        <v>46155</v>
      </c>
      <c r="H11" s="9">
        <v>15</v>
      </c>
      <c r="I11" s="9"/>
      <c r="J11" s="9">
        <v>7</v>
      </c>
      <c r="K11" s="9">
        <v>45</v>
      </c>
      <c r="L11" s="9">
        <v>30</v>
      </c>
      <c r="M11" s="9">
        <v>30</v>
      </c>
      <c r="N11" s="9">
        <v>30</v>
      </c>
      <c r="O11" s="9">
        <v>30</v>
      </c>
      <c r="P11" s="6">
        <f t="shared" si="2"/>
        <v>165</v>
      </c>
      <c r="Q11" s="6">
        <f t="shared" si="3"/>
        <v>1221</v>
      </c>
      <c r="R11" s="42" t="s">
        <v>23</v>
      </c>
    </row>
    <row r="12" spans="1:18" ht="15.95" customHeight="1" x14ac:dyDescent="0.25">
      <c r="A12" s="47"/>
      <c r="B12" s="55"/>
      <c r="C12" s="9"/>
      <c r="D12" s="136"/>
      <c r="E12" s="56"/>
      <c r="F12" s="57"/>
      <c r="G12" s="8">
        <v>46155</v>
      </c>
      <c r="H12" s="9">
        <v>14</v>
      </c>
      <c r="I12" s="9"/>
      <c r="J12" s="73">
        <v>8</v>
      </c>
      <c r="K12" s="9">
        <v>42</v>
      </c>
      <c r="L12" s="9">
        <v>28</v>
      </c>
      <c r="M12" s="9">
        <v>28</v>
      </c>
      <c r="N12" s="9">
        <v>28</v>
      </c>
      <c r="O12" s="9">
        <v>28</v>
      </c>
      <c r="P12" s="6">
        <f t="shared" si="2"/>
        <v>154</v>
      </c>
      <c r="Q12" s="6">
        <f t="shared" si="3"/>
        <v>1375</v>
      </c>
      <c r="R12" s="42" t="s">
        <v>23</v>
      </c>
    </row>
    <row r="13" spans="1:18" ht="15.95" customHeight="1" x14ac:dyDescent="0.25">
      <c r="A13" s="47"/>
      <c r="B13" s="55"/>
      <c r="C13" s="9"/>
      <c r="D13" s="136"/>
      <c r="E13" s="56"/>
      <c r="F13" s="57"/>
      <c r="G13" s="8">
        <v>46155</v>
      </c>
      <c r="H13" s="9">
        <v>20</v>
      </c>
      <c r="I13" s="9"/>
      <c r="J13" s="9">
        <v>9</v>
      </c>
      <c r="K13" s="9">
        <v>60</v>
      </c>
      <c r="L13" s="9">
        <v>40</v>
      </c>
      <c r="M13" s="9">
        <v>40</v>
      </c>
      <c r="N13" s="9">
        <v>40</v>
      </c>
      <c r="O13" s="9">
        <v>40</v>
      </c>
      <c r="P13" s="6">
        <f t="shared" ref="P13:P17" si="4">IF(G13="","",SUM(K13:O13))</f>
        <v>220</v>
      </c>
      <c r="Q13" s="6">
        <f t="shared" ref="Q13:Q17" si="5">IF(P13="","",Q12+P13)</f>
        <v>1595</v>
      </c>
      <c r="R13" s="42" t="s">
        <v>23</v>
      </c>
    </row>
    <row r="14" spans="1:18" ht="15.95" customHeight="1" x14ac:dyDescent="0.25">
      <c r="A14" s="47"/>
      <c r="B14" s="55"/>
      <c r="C14" s="9"/>
      <c r="D14" s="136"/>
      <c r="E14" s="56"/>
      <c r="F14" s="57"/>
      <c r="G14" s="8">
        <v>46155</v>
      </c>
      <c r="H14" s="9">
        <v>20</v>
      </c>
      <c r="I14" s="9"/>
      <c r="J14" s="73">
        <v>10</v>
      </c>
      <c r="K14" s="9">
        <v>60</v>
      </c>
      <c r="L14" s="9">
        <v>40</v>
      </c>
      <c r="M14" s="9">
        <v>40</v>
      </c>
      <c r="N14" s="9">
        <v>40</v>
      </c>
      <c r="O14" s="9">
        <v>40</v>
      </c>
      <c r="P14" s="6">
        <f t="shared" si="4"/>
        <v>220</v>
      </c>
      <c r="Q14" s="6">
        <f t="shared" si="5"/>
        <v>1815</v>
      </c>
      <c r="R14" s="42" t="s">
        <v>23</v>
      </c>
    </row>
    <row r="15" spans="1:18" ht="15.95" customHeight="1" x14ac:dyDescent="0.25">
      <c r="A15" s="47"/>
      <c r="B15" s="55"/>
      <c r="C15" s="9"/>
      <c r="D15" s="136"/>
      <c r="E15" s="56"/>
      <c r="F15" s="57"/>
      <c r="G15" s="8">
        <v>46155</v>
      </c>
      <c r="H15" s="9">
        <v>20</v>
      </c>
      <c r="I15" s="9"/>
      <c r="J15" s="73">
        <v>11</v>
      </c>
      <c r="K15" s="9">
        <v>60</v>
      </c>
      <c r="L15" s="9">
        <v>40</v>
      </c>
      <c r="M15" s="9">
        <v>40</v>
      </c>
      <c r="N15" s="9">
        <v>40</v>
      </c>
      <c r="O15" s="9">
        <v>40</v>
      </c>
      <c r="P15" s="6">
        <f t="shared" ref="P15" si="6">IF(G15="","",SUM(K15:O15))</f>
        <v>220</v>
      </c>
      <c r="Q15" s="6">
        <f t="shared" ref="Q15" si="7">IF(P15="","",Q14+P15)</f>
        <v>2035</v>
      </c>
      <c r="R15" s="42" t="s">
        <v>23</v>
      </c>
    </row>
    <row r="16" spans="1:18" ht="15.95" customHeight="1" x14ac:dyDescent="0.25">
      <c r="A16" s="47"/>
      <c r="B16" s="55"/>
      <c r="C16" s="9"/>
      <c r="D16" s="136"/>
      <c r="E16" s="56"/>
      <c r="F16" s="57"/>
      <c r="G16" s="8">
        <v>46155</v>
      </c>
      <c r="H16" s="9">
        <v>20</v>
      </c>
      <c r="I16" s="9"/>
      <c r="J16" s="9">
        <v>12</v>
      </c>
      <c r="K16" s="9">
        <v>60</v>
      </c>
      <c r="L16" s="9">
        <v>40</v>
      </c>
      <c r="M16" s="9">
        <v>40</v>
      </c>
      <c r="N16" s="9">
        <v>40</v>
      </c>
      <c r="O16" s="9">
        <v>40</v>
      </c>
      <c r="P16" s="6">
        <f t="shared" si="4"/>
        <v>220</v>
      </c>
      <c r="Q16" s="6">
        <f t="shared" si="5"/>
        <v>2255</v>
      </c>
      <c r="R16" s="42" t="s">
        <v>23</v>
      </c>
    </row>
    <row r="17" spans="1:18" ht="15.95" customHeight="1" x14ac:dyDescent="0.25">
      <c r="A17" s="47"/>
      <c r="B17" s="55"/>
      <c r="C17" s="9"/>
      <c r="D17" s="136"/>
      <c r="E17" s="56"/>
      <c r="F17" s="57"/>
      <c r="G17" s="8">
        <v>46156</v>
      </c>
      <c r="H17" s="9">
        <v>20</v>
      </c>
      <c r="I17" s="9"/>
      <c r="J17" s="9">
        <v>13</v>
      </c>
      <c r="K17" s="9">
        <f>20*3</f>
        <v>60</v>
      </c>
      <c r="L17" s="9">
        <f>20*2</f>
        <v>40</v>
      </c>
      <c r="M17" s="9">
        <f t="shared" ref="M17:O17" si="8">20*2</f>
        <v>40</v>
      </c>
      <c r="N17" s="9">
        <f t="shared" si="8"/>
        <v>40</v>
      </c>
      <c r="O17" s="9">
        <f t="shared" si="8"/>
        <v>40</v>
      </c>
      <c r="P17" s="6">
        <f t="shared" si="4"/>
        <v>220</v>
      </c>
      <c r="Q17" s="6">
        <f t="shared" si="5"/>
        <v>2475</v>
      </c>
      <c r="R17" s="42" t="s">
        <v>23</v>
      </c>
    </row>
    <row r="18" spans="1:18" ht="15.95" customHeight="1" x14ac:dyDescent="0.25">
      <c r="A18" s="47"/>
      <c r="B18" s="55"/>
      <c r="C18" s="9"/>
      <c r="D18" s="136"/>
      <c r="E18" s="56"/>
      <c r="F18" s="57"/>
      <c r="G18" s="8">
        <v>46156</v>
      </c>
      <c r="H18" s="9">
        <v>20</v>
      </c>
      <c r="I18" s="9"/>
      <c r="J18" s="9">
        <v>14</v>
      </c>
      <c r="K18" s="9">
        <v>60</v>
      </c>
      <c r="L18" s="9">
        <v>40</v>
      </c>
      <c r="M18" s="9">
        <v>40</v>
      </c>
      <c r="N18" s="9">
        <v>40</v>
      </c>
      <c r="O18" s="9">
        <v>40</v>
      </c>
      <c r="P18" s="6">
        <f t="shared" ref="P18" si="9">IF(G18="","",SUM(K18:O18))</f>
        <v>220</v>
      </c>
      <c r="Q18" s="6">
        <f t="shared" ref="Q18" si="10">IF(P18="","",Q17+P18)</f>
        <v>2695</v>
      </c>
      <c r="R18" s="42" t="s">
        <v>23</v>
      </c>
    </row>
    <row r="19" spans="1:18" ht="15.95" customHeight="1" x14ac:dyDescent="0.25">
      <c r="A19" s="47"/>
      <c r="B19" s="55"/>
      <c r="C19" s="9"/>
      <c r="D19" s="136"/>
      <c r="E19" s="56"/>
      <c r="F19" s="57"/>
      <c r="G19" s="8">
        <v>46158</v>
      </c>
      <c r="H19" s="9">
        <v>20</v>
      </c>
      <c r="I19" s="9"/>
      <c r="J19" s="9">
        <v>15</v>
      </c>
      <c r="K19" s="9">
        <v>60</v>
      </c>
      <c r="L19" s="9">
        <v>40</v>
      </c>
      <c r="M19" s="9">
        <v>40</v>
      </c>
      <c r="N19" s="9">
        <v>40</v>
      </c>
      <c r="O19" s="9">
        <v>40</v>
      </c>
      <c r="P19" s="6">
        <f t="shared" ref="P19:P21" si="11">IF(G19="","",SUM(K19:O19))</f>
        <v>220</v>
      </c>
      <c r="Q19" s="6">
        <f t="shared" ref="Q19:Q21" si="12">IF(P19="","",Q18+P19)</f>
        <v>2915</v>
      </c>
      <c r="R19" s="42" t="s">
        <v>23</v>
      </c>
    </row>
    <row r="20" spans="1:18" ht="15.95" customHeight="1" x14ac:dyDescent="0.25">
      <c r="A20" s="47"/>
      <c r="B20" s="55"/>
      <c r="C20" s="9"/>
      <c r="D20" s="136"/>
      <c r="E20" s="56"/>
      <c r="F20" s="57"/>
      <c r="G20" s="8">
        <v>46158</v>
      </c>
      <c r="H20" s="9">
        <v>20</v>
      </c>
      <c r="I20" s="9"/>
      <c r="J20" s="9">
        <v>16</v>
      </c>
      <c r="K20" s="9">
        <v>60</v>
      </c>
      <c r="L20" s="9">
        <v>40</v>
      </c>
      <c r="M20" s="9">
        <v>40</v>
      </c>
      <c r="N20" s="9">
        <v>40</v>
      </c>
      <c r="O20" s="9">
        <v>40</v>
      </c>
      <c r="P20" s="6">
        <f t="shared" si="11"/>
        <v>220</v>
      </c>
      <c r="Q20" s="6">
        <f t="shared" si="12"/>
        <v>3135</v>
      </c>
      <c r="R20" s="42" t="s">
        <v>23</v>
      </c>
    </row>
    <row r="21" spans="1:18" ht="15.95" customHeight="1" x14ac:dyDescent="0.25">
      <c r="A21" s="47"/>
      <c r="B21" s="55"/>
      <c r="C21" s="9"/>
      <c r="D21" s="136"/>
      <c r="E21" s="56"/>
      <c r="F21" s="57"/>
      <c r="G21" s="8">
        <v>46158</v>
      </c>
      <c r="H21" s="9">
        <v>20</v>
      </c>
      <c r="I21" s="9"/>
      <c r="J21" s="9">
        <v>17</v>
      </c>
      <c r="K21" s="9">
        <v>60</v>
      </c>
      <c r="L21" s="9">
        <v>40</v>
      </c>
      <c r="M21" s="9">
        <v>40</v>
      </c>
      <c r="N21" s="9">
        <v>40</v>
      </c>
      <c r="O21" s="9">
        <v>40</v>
      </c>
      <c r="P21" s="6">
        <f t="shared" si="11"/>
        <v>220</v>
      </c>
      <c r="Q21" s="6">
        <f t="shared" si="12"/>
        <v>3355</v>
      </c>
      <c r="R21" s="42" t="s">
        <v>23</v>
      </c>
    </row>
    <row r="22" spans="1:18" ht="15.95" customHeight="1" x14ac:dyDescent="0.25">
      <c r="A22" s="47"/>
      <c r="B22" s="55"/>
      <c r="C22" s="9"/>
      <c r="D22" s="136"/>
      <c r="E22" s="56"/>
      <c r="F22" s="57"/>
      <c r="G22" s="8">
        <v>46158</v>
      </c>
      <c r="H22" s="9">
        <v>20</v>
      </c>
      <c r="I22" s="9"/>
      <c r="J22" s="9">
        <v>18</v>
      </c>
      <c r="K22" s="9">
        <v>60</v>
      </c>
      <c r="L22" s="9">
        <v>40</v>
      </c>
      <c r="M22" s="9">
        <v>40</v>
      </c>
      <c r="N22" s="9">
        <v>40</v>
      </c>
      <c r="O22" s="9">
        <v>40</v>
      </c>
      <c r="P22" s="6">
        <f t="shared" ref="P22:P26" si="13">IF(G22="","",SUM(K22:O22))</f>
        <v>220</v>
      </c>
      <c r="Q22" s="6">
        <f t="shared" ref="Q22:Q26" si="14">IF(P22="","",Q21+P22)</f>
        <v>3575</v>
      </c>
      <c r="R22" s="42" t="s">
        <v>23</v>
      </c>
    </row>
    <row r="23" spans="1:18" ht="15.95" customHeight="1" x14ac:dyDescent="0.25">
      <c r="A23" s="47"/>
      <c r="B23" s="55"/>
      <c r="C23" s="9"/>
      <c r="D23" s="136"/>
      <c r="E23" s="56"/>
      <c r="F23" s="57"/>
      <c r="G23" s="8">
        <v>46158</v>
      </c>
      <c r="H23" s="9">
        <v>20</v>
      </c>
      <c r="I23" s="9"/>
      <c r="J23" s="9">
        <v>19</v>
      </c>
      <c r="K23" s="9">
        <v>60</v>
      </c>
      <c r="L23" s="9">
        <v>40</v>
      </c>
      <c r="M23" s="9">
        <v>40</v>
      </c>
      <c r="N23" s="9">
        <v>40</v>
      </c>
      <c r="O23" s="9">
        <v>40</v>
      </c>
      <c r="P23" s="6">
        <f t="shared" si="13"/>
        <v>220</v>
      </c>
      <c r="Q23" s="6">
        <f t="shared" si="14"/>
        <v>3795</v>
      </c>
      <c r="R23" s="42" t="s">
        <v>23</v>
      </c>
    </row>
    <row r="24" spans="1:18" ht="15.95" customHeight="1" x14ac:dyDescent="0.25">
      <c r="A24" s="47"/>
      <c r="B24" s="55"/>
      <c r="C24" s="9"/>
      <c r="D24" s="136"/>
      <c r="E24" s="56"/>
      <c r="F24" s="57"/>
      <c r="G24" s="8">
        <v>46159</v>
      </c>
      <c r="H24" s="9">
        <v>20</v>
      </c>
      <c r="I24" s="9"/>
      <c r="J24" s="9">
        <v>20</v>
      </c>
      <c r="K24" s="9">
        <v>60</v>
      </c>
      <c r="L24" s="9">
        <v>40</v>
      </c>
      <c r="M24" s="9">
        <v>40</v>
      </c>
      <c r="N24" s="9">
        <v>40</v>
      </c>
      <c r="O24" s="9">
        <v>40</v>
      </c>
      <c r="P24" s="6">
        <f t="shared" si="13"/>
        <v>220</v>
      </c>
      <c r="Q24" s="6">
        <f t="shared" si="14"/>
        <v>4015</v>
      </c>
      <c r="R24" s="42" t="s">
        <v>23</v>
      </c>
    </row>
    <row r="25" spans="1:18" ht="15.95" customHeight="1" x14ac:dyDescent="0.25">
      <c r="A25" s="47"/>
      <c r="B25" s="55"/>
      <c r="C25" s="9"/>
      <c r="D25" s="136"/>
      <c r="E25" s="56"/>
      <c r="F25" s="57"/>
      <c r="G25" s="8">
        <v>46159</v>
      </c>
      <c r="H25" s="9">
        <v>20</v>
      </c>
      <c r="I25" s="9"/>
      <c r="J25" s="9">
        <v>21</v>
      </c>
      <c r="K25" s="9">
        <v>60</v>
      </c>
      <c r="L25" s="9">
        <v>40</v>
      </c>
      <c r="M25" s="9">
        <v>40</v>
      </c>
      <c r="N25" s="9">
        <v>40</v>
      </c>
      <c r="O25" s="9">
        <v>40</v>
      </c>
      <c r="P25" s="6">
        <f t="shared" si="13"/>
        <v>220</v>
      </c>
      <c r="Q25" s="6">
        <f t="shared" si="14"/>
        <v>4235</v>
      </c>
      <c r="R25" s="42" t="s">
        <v>23</v>
      </c>
    </row>
    <row r="26" spans="1:18" ht="15.95" customHeight="1" x14ac:dyDescent="0.25">
      <c r="A26" s="47"/>
      <c r="B26" s="55"/>
      <c r="C26" s="9"/>
      <c r="D26" s="136"/>
      <c r="E26" s="56"/>
      <c r="F26" s="57"/>
      <c r="G26" s="8">
        <v>46159</v>
      </c>
      <c r="H26" s="9">
        <v>20</v>
      </c>
      <c r="I26" s="9"/>
      <c r="J26" s="9">
        <v>22</v>
      </c>
      <c r="K26" s="9">
        <v>60</v>
      </c>
      <c r="L26" s="9">
        <v>40</v>
      </c>
      <c r="M26" s="9">
        <v>40</v>
      </c>
      <c r="N26" s="9">
        <v>40</v>
      </c>
      <c r="O26" s="9">
        <v>40</v>
      </c>
      <c r="P26" s="6">
        <f t="shared" si="13"/>
        <v>220</v>
      </c>
      <c r="Q26" s="6">
        <f t="shared" si="14"/>
        <v>4455</v>
      </c>
      <c r="R26" s="42" t="s">
        <v>23</v>
      </c>
    </row>
    <row r="27" spans="1:18" ht="15.95" customHeight="1" x14ac:dyDescent="0.25">
      <c r="A27" s="47"/>
      <c r="B27" s="55"/>
      <c r="C27" s="9"/>
      <c r="D27" s="136"/>
      <c r="E27" s="56"/>
      <c r="F27" s="57"/>
      <c r="G27" s="8">
        <v>46159</v>
      </c>
      <c r="H27" s="9">
        <v>20</v>
      </c>
      <c r="I27" s="9"/>
      <c r="J27" s="9">
        <v>23</v>
      </c>
      <c r="K27" s="9">
        <v>60</v>
      </c>
      <c r="L27" s="9">
        <v>40</v>
      </c>
      <c r="M27" s="9">
        <v>40</v>
      </c>
      <c r="N27" s="9">
        <v>40</v>
      </c>
      <c r="O27" s="9">
        <v>40</v>
      </c>
      <c r="P27" s="6">
        <f t="shared" ref="P27:P28" si="15">IF(G27="","",SUM(K27:O27))</f>
        <v>220</v>
      </c>
      <c r="Q27" s="6">
        <f t="shared" ref="Q27:Q28" si="16">IF(P27="","",Q26+P27)</f>
        <v>4675</v>
      </c>
      <c r="R27" s="42" t="s">
        <v>23</v>
      </c>
    </row>
    <row r="28" spans="1:18" ht="15.95" customHeight="1" x14ac:dyDescent="0.25">
      <c r="A28" s="47"/>
      <c r="B28" s="55"/>
      <c r="C28" s="9"/>
      <c r="D28" s="136"/>
      <c r="E28" s="56"/>
      <c r="F28" s="57"/>
      <c r="G28" s="8">
        <v>46159</v>
      </c>
      <c r="H28" s="9">
        <v>20</v>
      </c>
      <c r="I28" s="9"/>
      <c r="J28" s="9">
        <v>24</v>
      </c>
      <c r="K28" s="9">
        <v>60</v>
      </c>
      <c r="L28" s="9">
        <v>40</v>
      </c>
      <c r="M28" s="9">
        <v>40</v>
      </c>
      <c r="N28" s="9">
        <v>40</v>
      </c>
      <c r="O28" s="9">
        <v>40</v>
      </c>
      <c r="P28" s="6">
        <f t="shared" si="15"/>
        <v>220</v>
      </c>
      <c r="Q28" s="6">
        <f t="shared" si="16"/>
        <v>4895</v>
      </c>
      <c r="R28" s="42" t="s">
        <v>23</v>
      </c>
    </row>
    <row r="29" spans="1:18" ht="15.95" customHeight="1" x14ac:dyDescent="0.25">
      <c r="A29" s="47"/>
      <c r="B29" s="55"/>
      <c r="C29" s="9"/>
      <c r="D29" s="136"/>
      <c r="E29" s="56"/>
      <c r="F29" s="57"/>
      <c r="G29" s="8">
        <v>46160</v>
      </c>
      <c r="H29" s="9">
        <v>20</v>
      </c>
      <c r="I29" s="9"/>
      <c r="J29" s="9">
        <v>25</v>
      </c>
      <c r="K29" s="9">
        <v>60</v>
      </c>
      <c r="L29" s="9">
        <v>40</v>
      </c>
      <c r="M29" s="9">
        <v>40</v>
      </c>
      <c r="N29" s="9">
        <v>40</v>
      </c>
      <c r="O29" s="9">
        <v>40</v>
      </c>
      <c r="P29" s="6">
        <f t="shared" ref="P29:P32" si="17">IF(G29="","",SUM(K29:O29))</f>
        <v>220</v>
      </c>
      <c r="Q29" s="6">
        <f t="shared" ref="Q29:Q32" si="18">IF(P29="","",Q28+P29)</f>
        <v>5115</v>
      </c>
      <c r="R29" s="42" t="s">
        <v>23</v>
      </c>
    </row>
    <row r="30" spans="1:18" ht="15.95" customHeight="1" x14ac:dyDescent="0.25">
      <c r="A30" s="47"/>
      <c r="B30" s="55"/>
      <c r="C30" s="9"/>
      <c r="D30" s="136"/>
      <c r="E30" s="56"/>
      <c r="F30" s="57"/>
      <c r="G30" s="8">
        <v>46160</v>
      </c>
      <c r="H30" s="9">
        <v>20</v>
      </c>
      <c r="I30" s="9"/>
      <c r="J30" s="9">
        <v>26</v>
      </c>
      <c r="K30" s="9">
        <v>60</v>
      </c>
      <c r="L30" s="9">
        <v>40</v>
      </c>
      <c r="M30" s="9">
        <v>40</v>
      </c>
      <c r="N30" s="9">
        <v>40</v>
      </c>
      <c r="O30" s="9">
        <v>40</v>
      </c>
      <c r="P30" s="6">
        <f t="shared" si="17"/>
        <v>220</v>
      </c>
      <c r="Q30" s="6">
        <f t="shared" si="18"/>
        <v>5335</v>
      </c>
      <c r="R30" s="42" t="s">
        <v>23</v>
      </c>
    </row>
    <row r="31" spans="1:18" ht="15.95" customHeight="1" x14ac:dyDescent="0.25">
      <c r="A31" s="47"/>
      <c r="B31" s="55"/>
      <c r="C31" s="9"/>
      <c r="D31" s="136"/>
      <c r="E31" s="56"/>
      <c r="F31" s="57"/>
      <c r="G31" s="8">
        <v>46160</v>
      </c>
      <c r="H31" s="9">
        <v>20</v>
      </c>
      <c r="I31" s="9"/>
      <c r="J31" s="9">
        <v>27</v>
      </c>
      <c r="K31" s="9">
        <v>60</v>
      </c>
      <c r="L31" s="9">
        <v>40</v>
      </c>
      <c r="M31" s="9">
        <v>40</v>
      </c>
      <c r="N31" s="9">
        <v>40</v>
      </c>
      <c r="O31" s="9">
        <v>40</v>
      </c>
      <c r="P31" s="6">
        <f t="shared" ref="P31" si="19">IF(G31="","",SUM(K31:O31))</f>
        <v>220</v>
      </c>
      <c r="Q31" s="6">
        <f t="shared" ref="Q31" si="20">IF(P31="","",Q30+P31)</f>
        <v>5555</v>
      </c>
      <c r="R31" s="42" t="s">
        <v>23</v>
      </c>
    </row>
    <row r="32" spans="1:18" ht="15.95" customHeight="1" x14ac:dyDescent="0.25">
      <c r="A32" s="47"/>
      <c r="B32" s="55"/>
      <c r="C32" s="9"/>
      <c r="D32" s="136"/>
      <c r="E32" s="56"/>
      <c r="F32" s="57"/>
      <c r="G32" s="8">
        <v>46160</v>
      </c>
      <c r="H32" s="9">
        <v>20</v>
      </c>
      <c r="I32" s="9"/>
      <c r="J32" s="9">
        <v>28</v>
      </c>
      <c r="K32" s="9">
        <v>60</v>
      </c>
      <c r="L32" s="9">
        <v>40</v>
      </c>
      <c r="M32" s="9">
        <v>40</v>
      </c>
      <c r="N32" s="9">
        <v>40</v>
      </c>
      <c r="O32" s="9">
        <v>40</v>
      </c>
      <c r="P32" s="6">
        <f t="shared" si="17"/>
        <v>220</v>
      </c>
      <c r="Q32" s="6">
        <f t="shared" si="18"/>
        <v>5775</v>
      </c>
      <c r="R32" s="42" t="s">
        <v>23</v>
      </c>
    </row>
    <row r="33" spans="1:18" ht="15.95" customHeight="1" x14ac:dyDescent="0.25">
      <c r="A33" s="47"/>
      <c r="B33" s="55"/>
      <c r="C33" s="9"/>
      <c r="D33" s="136"/>
      <c r="E33" s="56"/>
      <c r="F33" s="57"/>
      <c r="G33" s="8">
        <v>46160</v>
      </c>
      <c r="H33" s="9">
        <v>20</v>
      </c>
      <c r="I33" s="9"/>
      <c r="J33" s="9">
        <v>29</v>
      </c>
      <c r="K33" s="9">
        <v>60</v>
      </c>
      <c r="L33" s="9">
        <v>40</v>
      </c>
      <c r="M33" s="9">
        <v>40</v>
      </c>
      <c r="N33" s="9">
        <v>40</v>
      </c>
      <c r="O33" s="9">
        <v>40</v>
      </c>
      <c r="P33" s="6">
        <f t="shared" ref="P33:P34" si="21">IF(G33="","",SUM(K33:O33))</f>
        <v>220</v>
      </c>
      <c r="Q33" s="6">
        <f t="shared" ref="Q33:Q34" si="22">IF(P33="","",Q32+P33)</f>
        <v>5995</v>
      </c>
      <c r="R33" s="42" t="s">
        <v>23</v>
      </c>
    </row>
    <row r="34" spans="1:18" ht="15.95" customHeight="1" x14ac:dyDescent="0.25">
      <c r="A34" s="47"/>
      <c r="B34" s="55"/>
      <c r="C34" s="9"/>
      <c r="D34" s="136"/>
      <c r="E34" s="56"/>
      <c r="F34" s="57"/>
      <c r="G34" s="8">
        <v>46161</v>
      </c>
      <c r="H34" s="9">
        <v>20</v>
      </c>
      <c r="I34" s="9"/>
      <c r="J34" s="9">
        <v>30</v>
      </c>
      <c r="K34" s="9">
        <v>60</v>
      </c>
      <c r="L34" s="9">
        <v>40</v>
      </c>
      <c r="M34" s="9">
        <v>40</v>
      </c>
      <c r="N34" s="9">
        <v>40</v>
      </c>
      <c r="O34" s="9">
        <v>40</v>
      </c>
      <c r="P34" s="6">
        <f t="shared" si="21"/>
        <v>220</v>
      </c>
      <c r="Q34" s="6">
        <f t="shared" si="22"/>
        <v>6215</v>
      </c>
      <c r="R34" s="42" t="s">
        <v>23</v>
      </c>
    </row>
    <row r="35" spans="1:18" ht="15.95" customHeight="1" x14ac:dyDescent="0.25">
      <c r="A35" s="47"/>
      <c r="B35" s="55"/>
      <c r="C35" s="9"/>
      <c r="D35" s="136"/>
      <c r="E35" s="56"/>
      <c r="F35" s="57"/>
      <c r="G35" s="8">
        <v>46161</v>
      </c>
      <c r="H35" s="9">
        <v>20</v>
      </c>
      <c r="I35" s="9"/>
      <c r="J35" s="9">
        <v>31</v>
      </c>
      <c r="K35" s="9">
        <v>60</v>
      </c>
      <c r="L35" s="9">
        <v>40</v>
      </c>
      <c r="M35" s="9">
        <v>40</v>
      </c>
      <c r="N35" s="9">
        <v>40</v>
      </c>
      <c r="O35" s="9">
        <v>40</v>
      </c>
      <c r="P35" s="6">
        <f t="shared" ref="P35:P37" si="23">IF(G35="","",SUM(K35:O35))</f>
        <v>220</v>
      </c>
      <c r="Q35" s="6">
        <f t="shared" ref="Q35:Q37" si="24">IF(P35="","",Q34+P35)</f>
        <v>6435</v>
      </c>
      <c r="R35" s="42" t="s">
        <v>23</v>
      </c>
    </row>
    <row r="36" spans="1:18" ht="15.95" customHeight="1" x14ac:dyDescent="0.25">
      <c r="A36" s="47"/>
      <c r="B36" s="55"/>
      <c r="C36" s="9"/>
      <c r="D36" s="136"/>
      <c r="E36" s="56"/>
      <c r="F36" s="57"/>
      <c r="G36" s="8">
        <v>46161</v>
      </c>
      <c r="H36" s="9">
        <v>20</v>
      </c>
      <c r="I36" s="9"/>
      <c r="J36" s="9">
        <v>32</v>
      </c>
      <c r="K36" s="9">
        <v>60</v>
      </c>
      <c r="L36" s="9">
        <v>40</v>
      </c>
      <c r="M36" s="9">
        <v>40</v>
      </c>
      <c r="N36" s="9">
        <v>40</v>
      </c>
      <c r="O36" s="9">
        <v>40</v>
      </c>
      <c r="P36" s="6">
        <f t="shared" si="23"/>
        <v>220</v>
      </c>
      <c r="Q36" s="6">
        <f t="shared" si="24"/>
        <v>6655</v>
      </c>
      <c r="R36" s="42" t="s">
        <v>23</v>
      </c>
    </row>
    <row r="37" spans="1:18" ht="15.95" customHeight="1" x14ac:dyDescent="0.25">
      <c r="A37" s="47"/>
      <c r="B37" s="55"/>
      <c r="C37" s="9"/>
      <c r="D37" s="136"/>
      <c r="E37" s="56"/>
      <c r="F37" s="57"/>
      <c r="G37" s="8">
        <v>46161</v>
      </c>
      <c r="H37" s="9">
        <v>20</v>
      </c>
      <c r="I37" s="9"/>
      <c r="J37" s="9">
        <v>33</v>
      </c>
      <c r="K37" s="9">
        <v>60</v>
      </c>
      <c r="L37" s="9">
        <v>40</v>
      </c>
      <c r="M37" s="9">
        <v>40</v>
      </c>
      <c r="N37" s="9">
        <v>40</v>
      </c>
      <c r="O37" s="9">
        <v>40</v>
      </c>
      <c r="P37" s="6">
        <f t="shared" si="23"/>
        <v>220</v>
      </c>
      <c r="Q37" s="6">
        <f t="shared" si="24"/>
        <v>6875</v>
      </c>
      <c r="R37" s="42" t="s">
        <v>23</v>
      </c>
    </row>
    <row r="38" spans="1:18" ht="15.95" customHeight="1" x14ac:dyDescent="0.25">
      <c r="A38" s="47"/>
      <c r="B38" s="55"/>
      <c r="C38" s="9"/>
      <c r="D38" s="136"/>
      <c r="E38" s="56"/>
      <c r="F38" s="57"/>
      <c r="G38" s="118">
        <v>46162</v>
      </c>
      <c r="H38" s="119">
        <v>18</v>
      </c>
      <c r="I38" s="119"/>
      <c r="J38" s="119">
        <v>34</v>
      </c>
      <c r="K38" s="119">
        <f>18*3</f>
        <v>54</v>
      </c>
      <c r="L38" s="119">
        <v>36</v>
      </c>
      <c r="M38" s="119">
        <v>36</v>
      </c>
      <c r="N38" s="119">
        <v>36</v>
      </c>
      <c r="O38" s="119">
        <v>36</v>
      </c>
      <c r="P38" s="120">
        <f t="shared" ref="P38:P40" si="25">IF(G38="","",SUM(K38:O38))</f>
        <v>198</v>
      </c>
      <c r="Q38" s="120">
        <f t="shared" ref="Q38:Q40" si="26">IF(P38="","",Q37+P38)</f>
        <v>7073</v>
      </c>
      <c r="R38" s="121" t="s">
        <v>23</v>
      </c>
    </row>
    <row r="39" spans="1:18" ht="15.95" customHeight="1" x14ac:dyDescent="0.25">
      <c r="A39" s="47"/>
      <c r="B39" s="55"/>
      <c r="C39" s="9"/>
      <c r="D39" s="136"/>
      <c r="E39" s="56"/>
      <c r="F39" s="57"/>
      <c r="G39" s="8">
        <v>46162</v>
      </c>
      <c r="H39" s="9">
        <v>17</v>
      </c>
      <c r="I39" s="9"/>
      <c r="J39" s="9">
        <v>35</v>
      </c>
      <c r="K39" s="9">
        <f>17*3</f>
        <v>51</v>
      </c>
      <c r="L39" s="9">
        <v>34</v>
      </c>
      <c r="M39" s="9">
        <v>34</v>
      </c>
      <c r="N39" s="9">
        <v>34</v>
      </c>
      <c r="O39" s="9">
        <v>34</v>
      </c>
      <c r="P39" s="6">
        <f t="shared" si="25"/>
        <v>187</v>
      </c>
      <c r="Q39" s="6">
        <f t="shared" si="26"/>
        <v>7260</v>
      </c>
      <c r="R39" s="42" t="s">
        <v>23</v>
      </c>
    </row>
    <row r="40" spans="1:18" ht="15.95" customHeight="1" thickBot="1" x14ac:dyDescent="0.3">
      <c r="A40" s="47"/>
      <c r="B40" s="55"/>
      <c r="C40" s="9"/>
      <c r="D40" s="136"/>
      <c r="E40" s="56"/>
      <c r="F40" s="57"/>
      <c r="G40" s="8"/>
      <c r="H40" s="9"/>
      <c r="I40" s="9"/>
      <c r="J40" s="9"/>
      <c r="K40" s="9"/>
      <c r="L40" s="9"/>
      <c r="M40" s="9"/>
      <c r="N40" s="9"/>
      <c r="O40" s="9"/>
      <c r="P40" s="6" t="str">
        <f t="shared" si="25"/>
        <v/>
      </c>
      <c r="Q40" s="6" t="str">
        <f t="shared" si="26"/>
        <v/>
      </c>
      <c r="R40" s="42"/>
    </row>
    <row r="41" spans="1:18" ht="19.5" customHeight="1" thickBot="1" x14ac:dyDescent="0.3">
      <c r="A41" s="48"/>
      <c r="B41" s="58"/>
      <c r="C41" s="58"/>
      <c r="D41" s="138"/>
      <c r="E41" s="59"/>
      <c r="F41" s="58"/>
      <c r="G41" s="19"/>
      <c r="H41" s="20"/>
      <c r="I41" s="21"/>
      <c r="J41" s="22" t="s">
        <v>11</v>
      </c>
      <c r="K41" s="38">
        <f>SUM(K5:K40)</f>
        <v>1980</v>
      </c>
      <c r="L41" s="38">
        <f>SUM(L5:L40)</f>
        <v>1320</v>
      </c>
      <c r="M41" s="38">
        <f>SUM(M5:M40)</f>
        <v>1320</v>
      </c>
      <c r="N41" s="38">
        <f>SUM(N5:N40)</f>
        <v>1320</v>
      </c>
      <c r="O41" s="38">
        <f>SUM(O5:O40)</f>
        <v>1320</v>
      </c>
      <c r="P41" s="38">
        <f>SUM(K41:O41)</f>
        <v>7260</v>
      </c>
      <c r="Q41" s="23"/>
      <c r="R41" s="82"/>
    </row>
    <row r="42" spans="1:18" ht="18.75" customHeight="1" thickBot="1" x14ac:dyDescent="0.3">
      <c r="A42" s="49"/>
      <c r="B42" s="60"/>
      <c r="C42" s="60"/>
      <c r="D42" s="139"/>
      <c r="E42" s="60"/>
      <c r="F42" s="60"/>
      <c r="G42" s="24"/>
      <c r="H42" s="24"/>
      <c r="I42" s="25"/>
      <c r="J42" s="26" t="s">
        <v>12</v>
      </c>
      <c r="K42" s="39">
        <f>IF(K3="","",K41-K3)</f>
        <v>21</v>
      </c>
      <c r="L42" s="39">
        <f>IF(L3="","",L41-L3)</f>
        <v>14</v>
      </c>
      <c r="M42" s="39">
        <f>IF(M3="","",M41-M3)</f>
        <v>14</v>
      </c>
      <c r="N42" s="39">
        <f>IF(N3="","",N41-N3)</f>
        <v>14</v>
      </c>
      <c r="O42" s="39">
        <f>IF(O3="","",O41-O3)</f>
        <v>14</v>
      </c>
      <c r="P42" s="39">
        <f>SUM(K42:O42)</f>
        <v>77</v>
      </c>
      <c r="Q42" s="27"/>
      <c r="R42" s="83"/>
    </row>
    <row r="43" spans="1:18" ht="15.75" customHeight="1" x14ac:dyDescent="0.25">
      <c r="I43"/>
      <c r="J43" s="70">
        <v>32</v>
      </c>
      <c r="K43" s="70">
        <f t="shared" ref="K43:P43" si="27">SUM(K5:K36)</f>
        <v>1815</v>
      </c>
      <c r="L43" s="70">
        <f t="shared" si="27"/>
        <v>1210</v>
      </c>
      <c r="M43" s="70">
        <f t="shared" si="27"/>
        <v>1210</v>
      </c>
      <c r="N43" s="70">
        <f t="shared" si="27"/>
        <v>1210</v>
      </c>
      <c r="O43" s="70">
        <f t="shared" si="27"/>
        <v>1210</v>
      </c>
      <c r="P43" s="70">
        <f t="shared" si="27"/>
        <v>6655</v>
      </c>
      <c r="Q43" s="29"/>
    </row>
    <row r="44" spans="1:18" s="1" customFormat="1" ht="18.75" customHeight="1" thickBot="1" x14ac:dyDescent="0.35">
      <c r="A44" s="46"/>
      <c r="B44" s="41"/>
      <c r="C44" s="41"/>
      <c r="D44" s="133"/>
      <c r="E44" s="41"/>
      <c r="F44" s="41"/>
      <c r="I44" s="90" t="s">
        <v>26</v>
      </c>
      <c r="K44" s="30"/>
      <c r="L44" s="30"/>
      <c r="M44" s="30"/>
      <c r="N44" s="30"/>
      <c r="O44" s="30"/>
      <c r="P44" s="30"/>
      <c r="Q44" s="30"/>
      <c r="R44" s="81"/>
    </row>
    <row r="45" spans="1:18" s="2" customFormat="1" ht="27.75" customHeight="1" thickBot="1" x14ac:dyDescent="0.25">
      <c r="A45" s="91"/>
      <c r="B45" s="51"/>
      <c r="C45" s="51"/>
      <c r="D45" s="134"/>
      <c r="E45" s="52"/>
      <c r="F45" s="53"/>
      <c r="G45" s="15"/>
      <c r="H45" s="15"/>
      <c r="I45" s="15"/>
      <c r="J45" s="16" t="s">
        <v>16</v>
      </c>
      <c r="K45" s="17">
        <v>4242</v>
      </c>
      <c r="L45" s="17">
        <v>2828</v>
      </c>
      <c r="M45" s="17">
        <v>2828</v>
      </c>
      <c r="N45" s="17">
        <v>2828</v>
      </c>
      <c r="O45" s="17">
        <v>2828</v>
      </c>
      <c r="P45" s="18">
        <f>SUM(K45:O45)</f>
        <v>15554</v>
      </c>
      <c r="Q45" s="37"/>
      <c r="R45" s="76"/>
    </row>
    <row r="46" spans="1:18" s="13" customFormat="1" ht="31.5" customHeight="1" thickBot="1" x14ac:dyDescent="0.2">
      <c r="A46" s="44" t="s">
        <v>17</v>
      </c>
      <c r="B46" s="50" t="s">
        <v>13</v>
      </c>
      <c r="C46" s="50" t="s">
        <v>14</v>
      </c>
      <c r="D46" s="135" t="s">
        <v>9</v>
      </c>
      <c r="E46" s="50" t="s">
        <v>22</v>
      </c>
      <c r="F46" s="50" t="s">
        <v>8</v>
      </c>
      <c r="G46" s="10" t="s">
        <v>7</v>
      </c>
      <c r="H46" s="10" t="s">
        <v>5</v>
      </c>
      <c r="I46" s="10" t="s">
        <v>6</v>
      </c>
      <c r="J46" s="11" t="s">
        <v>4</v>
      </c>
      <c r="K46" s="14" t="s">
        <v>28</v>
      </c>
      <c r="L46" s="14" t="s">
        <v>29</v>
      </c>
      <c r="M46" s="14" t="s">
        <v>1</v>
      </c>
      <c r="N46" s="14" t="s">
        <v>24</v>
      </c>
      <c r="O46" s="14" t="s">
        <v>25</v>
      </c>
      <c r="P46" s="12" t="s">
        <v>10</v>
      </c>
      <c r="Q46" s="12" t="s">
        <v>3</v>
      </c>
      <c r="R46" s="85" t="s">
        <v>0</v>
      </c>
    </row>
    <row r="47" spans="1:18" s="3" customFormat="1" ht="15.95" customHeight="1" x14ac:dyDescent="0.2">
      <c r="A47" s="86" t="s">
        <v>32</v>
      </c>
      <c r="B47" s="87" t="s">
        <v>31</v>
      </c>
      <c r="C47" s="87">
        <v>14222</v>
      </c>
      <c r="D47" s="87" t="s">
        <v>35</v>
      </c>
      <c r="E47" s="88">
        <f>P45</f>
        <v>15554</v>
      </c>
      <c r="F47" s="54"/>
      <c r="G47" s="4">
        <v>46162</v>
      </c>
      <c r="H47" s="5">
        <v>23</v>
      </c>
      <c r="I47" s="5"/>
      <c r="J47" s="5">
        <v>36</v>
      </c>
      <c r="K47" s="5">
        <f>23*3</f>
        <v>69</v>
      </c>
      <c r="L47" s="5">
        <f>23*2</f>
        <v>46</v>
      </c>
      <c r="M47" s="5">
        <f t="shared" ref="M47:O47" si="28">23*2</f>
        <v>46</v>
      </c>
      <c r="N47" s="5">
        <f t="shared" si="28"/>
        <v>46</v>
      </c>
      <c r="O47" s="5">
        <f t="shared" si="28"/>
        <v>46</v>
      </c>
      <c r="P47" s="6">
        <f>IF(G47="","",SUM(K47:O47))</f>
        <v>253</v>
      </c>
      <c r="Q47" s="7">
        <f>IF(P47="","",P47)</f>
        <v>253</v>
      </c>
      <c r="R47" s="79" t="s">
        <v>30</v>
      </c>
    </row>
    <row r="48" spans="1:18" ht="15.95" customHeight="1" x14ac:dyDescent="0.25">
      <c r="A48" s="47" t="s">
        <v>37</v>
      </c>
      <c r="B48" s="55"/>
      <c r="C48" s="9"/>
      <c r="D48" s="136" t="s">
        <v>44</v>
      </c>
      <c r="E48" s="56"/>
      <c r="F48" s="57"/>
      <c r="G48" s="8">
        <v>46162</v>
      </c>
      <c r="H48" s="9">
        <v>22</v>
      </c>
      <c r="I48" s="9"/>
      <c r="J48" s="9">
        <v>37</v>
      </c>
      <c r="K48" s="9">
        <f>22*3</f>
        <v>66</v>
      </c>
      <c r="L48" s="9">
        <v>44</v>
      </c>
      <c r="M48" s="9">
        <v>44</v>
      </c>
      <c r="N48" s="9">
        <v>44</v>
      </c>
      <c r="O48" s="9">
        <v>44</v>
      </c>
      <c r="P48" s="6">
        <f>IF(G48="","",SUM(K48:O48))</f>
        <v>242</v>
      </c>
      <c r="Q48" s="6">
        <f>IF(P48="","",Q47+P48)</f>
        <v>495</v>
      </c>
      <c r="R48" s="42" t="s">
        <v>23</v>
      </c>
    </row>
    <row r="49" spans="1:18" ht="15.95" customHeight="1" x14ac:dyDescent="0.25">
      <c r="A49" s="47"/>
      <c r="B49" s="55"/>
      <c r="C49" s="9"/>
      <c r="D49" s="137"/>
      <c r="E49" s="56"/>
      <c r="F49" s="57"/>
      <c r="G49" s="8">
        <v>46163</v>
      </c>
      <c r="H49" s="9">
        <v>20</v>
      </c>
      <c r="I49" s="9"/>
      <c r="J49" s="9">
        <v>38</v>
      </c>
      <c r="K49" s="9">
        <v>60</v>
      </c>
      <c r="L49" s="9">
        <v>40</v>
      </c>
      <c r="M49" s="124">
        <v>40</v>
      </c>
      <c r="N49" s="9">
        <v>40</v>
      </c>
      <c r="O49" s="9">
        <v>40</v>
      </c>
      <c r="P49" s="6">
        <f>IF(G49="","",SUM(K49:O49))</f>
        <v>220</v>
      </c>
      <c r="Q49" s="6">
        <f t="shared" ref="Q49" si="29">IF(P49="","",Q48+P49)</f>
        <v>715</v>
      </c>
      <c r="R49" s="42" t="s">
        <v>23</v>
      </c>
    </row>
    <row r="50" spans="1:18" ht="15.95" customHeight="1" x14ac:dyDescent="0.25">
      <c r="A50" s="47"/>
      <c r="B50" s="55"/>
      <c r="C50" s="9"/>
      <c r="D50" s="136"/>
      <c r="E50" s="56"/>
      <c r="F50" s="57"/>
      <c r="G50" s="8">
        <v>46163</v>
      </c>
      <c r="H50" s="9">
        <v>20</v>
      </c>
      <c r="I50" s="9"/>
      <c r="J50" s="9">
        <v>39</v>
      </c>
      <c r="K50" s="9">
        <v>60</v>
      </c>
      <c r="L50" s="9">
        <v>40</v>
      </c>
      <c r="M50" s="124">
        <v>40</v>
      </c>
      <c r="N50" s="9">
        <v>40</v>
      </c>
      <c r="O50" s="9">
        <v>40</v>
      </c>
      <c r="P50" s="6">
        <f>IF(G50="","",SUM(K50:O50))</f>
        <v>220</v>
      </c>
      <c r="Q50" s="6">
        <f t="shared" ref="Q50" si="30">IF(P50="","",Q49+P50)</f>
        <v>935</v>
      </c>
      <c r="R50" s="42" t="s">
        <v>23</v>
      </c>
    </row>
    <row r="51" spans="1:18" ht="15.95" customHeight="1" x14ac:dyDescent="0.25">
      <c r="A51" s="47"/>
      <c r="B51" s="55"/>
      <c r="C51" s="9"/>
      <c r="D51" s="136"/>
      <c r="E51" s="56"/>
      <c r="F51" s="57"/>
      <c r="G51" s="8">
        <v>46163</v>
      </c>
      <c r="H51" s="9">
        <v>22</v>
      </c>
      <c r="I51" s="9"/>
      <c r="J51" s="9">
        <v>40</v>
      </c>
      <c r="K51" s="9">
        <v>66</v>
      </c>
      <c r="L51" s="9">
        <v>44</v>
      </c>
      <c r="M51" s="124">
        <v>44</v>
      </c>
      <c r="N51" s="9">
        <v>44</v>
      </c>
      <c r="O51" s="9">
        <v>44</v>
      </c>
      <c r="P51" s="6">
        <f t="shared" ref="P51" si="31">IF(G51="","",SUM(K51:O51))</f>
        <v>242</v>
      </c>
      <c r="Q51" s="6">
        <f t="shared" ref="Q51" si="32">IF(P51="","",Q50+P51)</f>
        <v>1177</v>
      </c>
      <c r="R51" s="42" t="s">
        <v>23</v>
      </c>
    </row>
    <row r="52" spans="1:18" ht="15.95" customHeight="1" x14ac:dyDescent="0.25">
      <c r="A52" s="47"/>
      <c r="B52" s="55"/>
      <c r="C52" s="9"/>
      <c r="D52" s="136"/>
      <c r="E52" s="56"/>
      <c r="F52" s="57"/>
      <c r="G52" s="8">
        <v>46163</v>
      </c>
      <c r="H52" s="9">
        <v>23</v>
      </c>
      <c r="I52" s="9"/>
      <c r="J52" s="9">
        <v>41</v>
      </c>
      <c r="K52" s="9">
        <f>23*3</f>
        <v>69</v>
      </c>
      <c r="L52" s="9">
        <f>23*2</f>
        <v>46</v>
      </c>
      <c r="M52" s="9">
        <f t="shared" ref="M52:O52" si="33">23*2</f>
        <v>46</v>
      </c>
      <c r="N52" s="9">
        <f t="shared" si="33"/>
        <v>46</v>
      </c>
      <c r="O52" s="9">
        <f t="shared" si="33"/>
        <v>46</v>
      </c>
      <c r="P52" s="6">
        <f t="shared" ref="P52:P54" si="34">IF(G52="","",SUM(K52:O52))</f>
        <v>253</v>
      </c>
      <c r="Q52" s="6">
        <f t="shared" ref="Q52:Q54" si="35">IF(P52="","",Q51+P52)</f>
        <v>1430</v>
      </c>
      <c r="R52" s="42" t="s">
        <v>23</v>
      </c>
    </row>
    <row r="53" spans="1:18" ht="15.95" customHeight="1" x14ac:dyDescent="0.25">
      <c r="A53" s="47"/>
      <c r="B53" s="55"/>
      <c r="C53" s="9"/>
      <c r="D53" s="136"/>
      <c r="E53" s="56"/>
      <c r="F53" s="57"/>
      <c r="G53" s="8">
        <v>46163</v>
      </c>
      <c r="H53" s="9">
        <v>20</v>
      </c>
      <c r="I53" s="9"/>
      <c r="J53" s="9">
        <v>42</v>
      </c>
      <c r="K53" s="9">
        <f>20*3</f>
        <v>60</v>
      </c>
      <c r="L53" s="9">
        <v>40</v>
      </c>
      <c r="M53" s="9">
        <v>40</v>
      </c>
      <c r="N53" s="9">
        <v>40</v>
      </c>
      <c r="O53" s="9">
        <v>40</v>
      </c>
      <c r="P53" s="6">
        <f t="shared" si="34"/>
        <v>220</v>
      </c>
      <c r="Q53" s="6">
        <f t="shared" si="35"/>
        <v>1650</v>
      </c>
      <c r="R53" s="42" t="s">
        <v>23</v>
      </c>
    </row>
    <row r="54" spans="1:18" ht="15.95" customHeight="1" x14ac:dyDescent="0.25">
      <c r="A54" s="47"/>
      <c r="B54" s="55"/>
      <c r="C54" s="9"/>
      <c r="D54" s="136"/>
      <c r="E54" s="56"/>
      <c r="F54" s="57"/>
      <c r="G54" s="8">
        <v>46165</v>
      </c>
      <c r="H54" s="9">
        <v>22</v>
      </c>
      <c r="I54" s="9"/>
      <c r="J54" s="9">
        <v>43</v>
      </c>
      <c r="K54" s="9">
        <v>66</v>
      </c>
      <c r="L54" s="9">
        <v>44</v>
      </c>
      <c r="M54" s="9">
        <v>44</v>
      </c>
      <c r="N54" s="9">
        <v>44</v>
      </c>
      <c r="O54" s="9">
        <v>44</v>
      </c>
      <c r="P54" s="6">
        <f t="shared" si="34"/>
        <v>242</v>
      </c>
      <c r="Q54" s="6">
        <f t="shared" si="35"/>
        <v>1892</v>
      </c>
      <c r="R54" s="42" t="s">
        <v>23</v>
      </c>
    </row>
    <row r="55" spans="1:18" ht="15.95" customHeight="1" x14ac:dyDescent="0.25">
      <c r="A55" s="47"/>
      <c r="B55" s="55"/>
      <c r="C55" s="9"/>
      <c r="D55" s="136"/>
      <c r="E55" s="56"/>
      <c r="F55" s="57"/>
      <c r="G55" s="8">
        <v>46165</v>
      </c>
      <c r="H55" s="9">
        <v>22</v>
      </c>
      <c r="I55" s="9"/>
      <c r="J55" s="9">
        <v>44</v>
      </c>
      <c r="K55" s="9">
        <v>66</v>
      </c>
      <c r="L55" s="9">
        <v>44</v>
      </c>
      <c r="M55" s="9">
        <v>44</v>
      </c>
      <c r="N55" s="9">
        <v>44</v>
      </c>
      <c r="O55" s="9">
        <v>44</v>
      </c>
      <c r="P55" s="6">
        <f t="shared" ref="P55:P56" si="36">IF(G55="","",SUM(K55:O55))</f>
        <v>242</v>
      </c>
      <c r="Q55" s="6">
        <f t="shared" ref="Q55:Q56" si="37">IF(P55="","",Q54+P55)</f>
        <v>2134</v>
      </c>
      <c r="R55" s="42" t="s">
        <v>23</v>
      </c>
    </row>
    <row r="56" spans="1:18" ht="15.95" customHeight="1" x14ac:dyDescent="0.25">
      <c r="A56" s="47"/>
      <c r="B56" s="55"/>
      <c r="C56" s="9"/>
      <c r="D56" s="136"/>
      <c r="E56" s="56"/>
      <c r="F56" s="57"/>
      <c r="G56" s="8">
        <v>46165</v>
      </c>
      <c r="H56" s="9">
        <v>22</v>
      </c>
      <c r="I56" s="9"/>
      <c r="J56" s="9">
        <v>45</v>
      </c>
      <c r="K56" s="9">
        <v>66</v>
      </c>
      <c r="L56" s="9">
        <v>44</v>
      </c>
      <c r="M56" s="9">
        <v>44</v>
      </c>
      <c r="N56" s="9">
        <v>44</v>
      </c>
      <c r="O56" s="9">
        <v>44</v>
      </c>
      <c r="P56" s="6">
        <f t="shared" si="36"/>
        <v>242</v>
      </c>
      <c r="Q56" s="6">
        <f t="shared" si="37"/>
        <v>2376</v>
      </c>
      <c r="R56" s="42" t="s">
        <v>23</v>
      </c>
    </row>
    <row r="57" spans="1:18" ht="15.95" customHeight="1" x14ac:dyDescent="0.25">
      <c r="A57" s="47"/>
      <c r="B57" s="55"/>
      <c r="C57" s="9"/>
      <c r="D57" s="136"/>
      <c r="E57" s="56"/>
      <c r="F57" s="57"/>
      <c r="G57" s="8">
        <v>46165</v>
      </c>
      <c r="H57" s="9">
        <v>22</v>
      </c>
      <c r="I57" s="9"/>
      <c r="J57" s="9">
        <v>46</v>
      </c>
      <c r="K57" s="9">
        <v>66</v>
      </c>
      <c r="L57" s="9">
        <v>44</v>
      </c>
      <c r="M57" s="9">
        <v>44</v>
      </c>
      <c r="N57" s="9">
        <v>44</v>
      </c>
      <c r="O57" s="9">
        <v>44</v>
      </c>
      <c r="P57" s="6">
        <f t="shared" ref="P57:P59" si="38">IF(G57="","",SUM(K57:O57))</f>
        <v>242</v>
      </c>
      <c r="Q57" s="6">
        <f t="shared" ref="Q57:Q59" si="39">IF(P57="","",Q56+P57)</f>
        <v>2618</v>
      </c>
      <c r="R57" s="42" t="s">
        <v>23</v>
      </c>
    </row>
    <row r="58" spans="1:18" ht="15.95" customHeight="1" x14ac:dyDescent="0.25">
      <c r="A58" s="47"/>
      <c r="B58" s="55"/>
      <c r="C58" s="9"/>
      <c r="D58" s="136"/>
      <c r="E58" s="56"/>
      <c r="F58" s="57"/>
      <c r="G58" s="8">
        <v>46165</v>
      </c>
      <c r="H58" s="9">
        <v>22</v>
      </c>
      <c r="I58" s="9"/>
      <c r="J58" s="9">
        <v>47</v>
      </c>
      <c r="K58" s="9">
        <v>66</v>
      </c>
      <c r="L58" s="9">
        <v>44</v>
      </c>
      <c r="M58" s="9">
        <v>44</v>
      </c>
      <c r="N58" s="9">
        <v>44</v>
      </c>
      <c r="O58" s="9">
        <v>44</v>
      </c>
      <c r="P58" s="6">
        <f t="shared" si="38"/>
        <v>242</v>
      </c>
      <c r="Q58" s="6">
        <f t="shared" si="39"/>
        <v>2860</v>
      </c>
      <c r="R58" s="42" t="s">
        <v>23</v>
      </c>
    </row>
    <row r="59" spans="1:18" ht="15.95" customHeight="1" x14ac:dyDescent="0.25">
      <c r="A59" s="47"/>
      <c r="B59" s="55"/>
      <c r="C59" s="9"/>
      <c r="D59" s="136"/>
      <c r="E59" s="56"/>
      <c r="F59" s="57"/>
      <c r="G59" s="8">
        <v>46165</v>
      </c>
      <c r="H59" s="9">
        <v>22</v>
      </c>
      <c r="I59" s="9"/>
      <c r="J59" s="9">
        <v>48</v>
      </c>
      <c r="K59" s="9">
        <v>66</v>
      </c>
      <c r="L59" s="9">
        <v>44</v>
      </c>
      <c r="M59" s="9">
        <v>44</v>
      </c>
      <c r="N59" s="9">
        <v>44</v>
      </c>
      <c r="O59" s="9">
        <v>44</v>
      </c>
      <c r="P59" s="6">
        <f t="shared" si="38"/>
        <v>242</v>
      </c>
      <c r="Q59" s="6">
        <f t="shared" si="39"/>
        <v>3102</v>
      </c>
      <c r="R59" s="42" t="s">
        <v>23</v>
      </c>
    </row>
    <row r="60" spans="1:18" ht="15.95" customHeight="1" x14ac:dyDescent="0.25">
      <c r="A60" s="47"/>
      <c r="B60" s="55"/>
      <c r="C60" s="9"/>
      <c r="D60" s="136"/>
      <c r="E60" s="56"/>
      <c r="F60" s="57"/>
      <c r="G60" s="72">
        <v>46166</v>
      </c>
      <c r="H60" s="73">
        <v>22</v>
      </c>
      <c r="I60" s="73"/>
      <c r="J60" s="73">
        <v>49</v>
      </c>
      <c r="K60" s="73">
        <v>66</v>
      </c>
      <c r="L60" s="73">
        <v>44</v>
      </c>
      <c r="M60" s="73">
        <v>44</v>
      </c>
      <c r="N60" s="73">
        <v>44</v>
      </c>
      <c r="O60" s="73">
        <v>44</v>
      </c>
      <c r="P60" s="78">
        <f t="shared" ref="P60:P62" si="40">IF(G60="","",SUM(K60:O60))</f>
        <v>242</v>
      </c>
      <c r="Q60" s="78">
        <f t="shared" ref="Q60" si="41">IF(P60="","",Q59+P60)</f>
        <v>3344</v>
      </c>
      <c r="R60" s="74" t="s">
        <v>23</v>
      </c>
    </row>
    <row r="61" spans="1:18" ht="15.95" customHeight="1" x14ac:dyDescent="0.25">
      <c r="A61" s="47"/>
      <c r="B61" s="55"/>
      <c r="C61" s="9"/>
      <c r="D61" s="136"/>
      <c r="E61" s="56"/>
      <c r="F61" s="57"/>
      <c r="G61" s="72">
        <v>46166</v>
      </c>
      <c r="H61" s="73">
        <v>22</v>
      </c>
      <c r="I61" s="73"/>
      <c r="J61" s="73">
        <v>50</v>
      </c>
      <c r="K61" s="73">
        <v>66</v>
      </c>
      <c r="L61" s="73">
        <v>44</v>
      </c>
      <c r="M61" s="73">
        <v>44</v>
      </c>
      <c r="N61" s="73">
        <v>44</v>
      </c>
      <c r="O61" s="73">
        <v>44</v>
      </c>
      <c r="P61" s="78">
        <f t="shared" si="40"/>
        <v>242</v>
      </c>
      <c r="Q61" s="78">
        <f>IF(P61="","",Q60+P61)</f>
        <v>3586</v>
      </c>
      <c r="R61" s="74" t="s">
        <v>23</v>
      </c>
    </row>
    <row r="62" spans="1:18" ht="15.95" customHeight="1" x14ac:dyDescent="0.25">
      <c r="A62" s="47"/>
      <c r="B62" s="55"/>
      <c r="C62" s="9"/>
      <c r="D62" s="136"/>
      <c r="E62" s="56"/>
      <c r="F62" s="57"/>
      <c r="G62" s="72">
        <v>46166</v>
      </c>
      <c r="H62" s="73">
        <v>22</v>
      </c>
      <c r="I62" s="73"/>
      <c r="J62" s="73">
        <v>51</v>
      </c>
      <c r="K62" s="73">
        <v>66</v>
      </c>
      <c r="L62" s="73">
        <v>44</v>
      </c>
      <c r="M62" s="73">
        <v>44</v>
      </c>
      <c r="N62" s="73">
        <v>44</v>
      </c>
      <c r="O62" s="73">
        <v>44</v>
      </c>
      <c r="P62" s="78">
        <f t="shared" si="40"/>
        <v>242</v>
      </c>
      <c r="Q62" s="78">
        <f>IF(P62="","",Q61+P62)</f>
        <v>3828</v>
      </c>
      <c r="R62" s="74" t="s">
        <v>23</v>
      </c>
    </row>
    <row r="63" spans="1:18" ht="15.95" customHeight="1" x14ac:dyDescent="0.25">
      <c r="A63" s="47"/>
      <c r="B63" s="55"/>
      <c r="C63" s="9"/>
      <c r="D63" s="136"/>
      <c r="E63" s="56"/>
      <c r="F63" s="57"/>
      <c r="G63" s="72">
        <v>46166</v>
      </c>
      <c r="H63" s="73">
        <v>22</v>
      </c>
      <c r="I63" s="73"/>
      <c r="J63" s="73">
        <v>52</v>
      </c>
      <c r="K63" s="73">
        <v>66</v>
      </c>
      <c r="L63" s="73">
        <v>44</v>
      </c>
      <c r="M63" s="73">
        <v>44</v>
      </c>
      <c r="N63" s="73">
        <v>44</v>
      </c>
      <c r="O63" s="73">
        <v>44</v>
      </c>
      <c r="P63" s="78">
        <f t="shared" ref="P63:P64" si="42">IF(G63="","",SUM(K63:O63))</f>
        <v>242</v>
      </c>
      <c r="Q63" s="78">
        <f t="shared" ref="Q63:Q64" si="43">IF(P63="","",Q62+P63)</f>
        <v>4070</v>
      </c>
      <c r="R63" s="74" t="s">
        <v>23</v>
      </c>
    </row>
    <row r="64" spans="1:18" ht="15.95" customHeight="1" x14ac:dyDescent="0.25">
      <c r="A64" s="47"/>
      <c r="B64" s="55"/>
      <c r="C64" s="9"/>
      <c r="D64" s="136"/>
      <c r="E64" s="56"/>
      <c r="F64" s="57"/>
      <c r="G64" s="72">
        <v>46166</v>
      </c>
      <c r="H64" s="73">
        <v>22</v>
      </c>
      <c r="I64" s="73"/>
      <c r="J64" s="73">
        <v>53</v>
      </c>
      <c r="K64" s="73">
        <v>66</v>
      </c>
      <c r="L64" s="73">
        <v>44</v>
      </c>
      <c r="M64" s="73">
        <v>44</v>
      </c>
      <c r="N64" s="73">
        <v>44</v>
      </c>
      <c r="O64" s="73">
        <v>44</v>
      </c>
      <c r="P64" s="78">
        <f t="shared" si="42"/>
        <v>242</v>
      </c>
      <c r="Q64" s="78">
        <f t="shared" si="43"/>
        <v>4312</v>
      </c>
      <c r="R64" s="74" t="s">
        <v>23</v>
      </c>
    </row>
    <row r="65" spans="1:18" ht="15.95" customHeight="1" x14ac:dyDescent="0.25">
      <c r="A65" s="47"/>
      <c r="B65" s="55"/>
      <c r="C65" s="9"/>
      <c r="D65" s="136"/>
      <c r="E65" s="56"/>
      <c r="F65" s="57"/>
      <c r="G65" s="72">
        <v>46166</v>
      </c>
      <c r="H65" s="73">
        <v>22</v>
      </c>
      <c r="I65" s="73"/>
      <c r="J65" s="73">
        <v>54</v>
      </c>
      <c r="K65" s="73">
        <v>66</v>
      </c>
      <c r="L65" s="73">
        <v>44</v>
      </c>
      <c r="M65" s="73">
        <v>44</v>
      </c>
      <c r="N65" s="73">
        <v>44</v>
      </c>
      <c r="O65" s="73">
        <v>44</v>
      </c>
      <c r="P65" s="78">
        <f t="shared" ref="P65:P66" si="44">IF(G65="","",SUM(K65:O65))</f>
        <v>242</v>
      </c>
      <c r="Q65" s="78">
        <f t="shared" ref="Q65:Q66" si="45">IF(P65="","",Q64+P65)</f>
        <v>4554</v>
      </c>
      <c r="R65" s="74" t="s">
        <v>23</v>
      </c>
    </row>
    <row r="66" spans="1:18" ht="15.95" customHeight="1" x14ac:dyDescent="0.25">
      <c r="A66" s="47"/>
      <c r="B66" s="55"/>
      <c r="C66" s="9"/>
      <c r="D66" s="136"/>
      <c r="E66" s="56"/>
      <c r="F66" s="57"/>
      <c r="G66" s="72">
        <v>46166</v>
      </c>
      <c r="H66" s="73">
        <v>22</v>
      </c>
      <c r="I66" s="73"/>
      <c r="J66" s="73">
        <v>55</v>
      </c>
      <c r="K66" s="73">
        <v>66</v>
      </c>
      <c r="L66" s="73">
        <v>44</v>
      </c>
      <c r="M66" s="73">
        <v>44</v>
      </c>
      <c r="N66" s="73">
        <v>44</v>
      </c>
      <c r="O66" s="73">
        <v>44</v>
      </c>
      <c r="P66" s="78">
        <f t="shared" si="44"/>
        <v>242</v>
      </c>
      <c r="Q66" s="78">
        <f t="shared" si="45"/>
        <v>4796</v>
      </c>
      <c r="R66" s="74" t="s">
        <v>23</v>
      </c>
    </row>
    <row r="67" spans="1:18" ht="15.95" customHeight="1" x14ac:dyDescent="0.25">
      <c r="A67" s="47"/>
      <c r="B67" s="55"/>
      <c r="C67" s="9"/>
      <c r="D67" s="136"/>
      <c r="E67" s="56"/>
      <c r="F67" s="57"/>
      <c r="G67" s="72">
        <v>46166</v>
      </c>
      <c r="H67" s="73">
        <v>22</v>
      </c>
      <c r="I67" s="73"/>
      <c r="J67" s="73">
        <v>56</v>
      </c>
      <c r="K67" s="73">
        <v>66</v>
      </c>
      <c r="L67" s="73">
        <v>44</v>
      </c>
      <c r="M67" s="73">
        <v>44</v>
      </c>
      <c r="N67" s="73">
        <v>44</v>
      </c>
      <c r="O67" s="73">
        <v>44</v>
      </c>
      <c r="P67" s="78">
        <f t="shared" ref="P67:P69" si="46">IF(G67="","",SUM(K67:O67))</f>
        <v>242</v>
      </c>
      <c r="Q67" s="78">
        <f t="shared" ref="Q67:Q69" si="47">IF(P67="","",Q66+P67)</f>
        <v>5038</v>
      </c>
      <c r="R67" s="74" t="s">
        <v>23</v>
      </c>
    </row>
    <row r="68" spans="1:18" ht="15.95" customHeight="1" x14ac:dyDescent="0.25">
      <c r="A68" s="47"/>
      <c r="B68" s="55"/>
      <c r="C68" s="9"/>
      <c r="D68" s="136"/>
      <c r="E68" s="56"/>
      <c r="F68" s="57"/>
      <c r="G68" s="72">
        <v>46166</v>
      </c>
      <c r="H68" s="73">
        <v>22</v>
      </c>
      <c r="I68" s="73"/>
      <c r="J68" s="73">
        <v>57</v>
      </c>
      <c r="K68" s="73">
        <v>66</v>
      </c>
      <c r="L68" s="73">
        <v>44</v>
      </c>
      <c r="M68" s="73">
        <v>44</v>
      </c>
      <c r="N68" s="73">
        <v>44</v>
      </c>
      <c r="O68" s="73">
        <v>44</v>
      </c>
      <c r="P68" s="78">
        <f t="shared" si="46"/>
        <v>242</v>
      </c>
      <c r="Q68" s="78">
        <f t="shared" si="47"/>
        <v>5280</v>
      </c>
      <c r="R68" s="74" t="s">
        <v>23</v>
      </c>
    </row>
    <row r="69" spans="1:18" ht="15.95" customHeight="1" x14ac:dyDescent="0.25">
      <c r="A69" s="47"/>
      <c r="B69" s="55"/>
      <c r="C69" s="9"/>
      <c r="D69" s="136"/>
      <c r="E69" s="56"/>
      <c r="F69" s="57"/>
      <c r="G69" s="72">
        <v>46166</v>
      </c>
      <c r="H69" s="73">
        <v>22</v>
      </c>
      <c r="I69" s="73"/>
      <c r="J69" s="73">
        <v>58</v>
      </c>
      <c r="K69" s="73">
        <v>66</v>
      </c>
      <c r="L69" s="73">
        <v>44</v>
      </c>
      <c r="M69" s="73">
        <v>44</v>
      </c>
      <c r="N69" s="73">
        <v>44</v>
      </c>
      <c r="O69" s="73">
        <v>44</v>
      </c>
      <c r="P69" s="78">
        <f t="shared" si="46"/>
        <v>242</v>
      </c>
      <c r="Q69" s="78">
        <f t="shared" si="47"/>
        <v>5522</v>
      </c>
      <c r="R69" s="74" t="s">
        <v>23</v>
      </c>
    </row>
    <row r="70" spans="1:18" ht="15.95" customHeight="1" x14ac:dyDescent="0.25">
      <c r="A70" s="47"/>
      <c r="B70" s="55"/>
      <c r="C70" s="9"/>
      <c r="D70" s="136"/>
      <c r="E70" s="56"/>
      <c r="F70" s="57"/>
      <c r="G70" s="72">
        <v>46166</v>
      </c>
      <c r="H70" s="73">
        <v>22</v>
      </c>
      <c r="I70" s="73"/>
      <c r="J70" s="73">
        <v>59</v>
      </c>
      <c r="K70" s="73">
        <v>66</v>
      </c>
      <c r="L70" s="73">
        <v>44</v>
      </c>
      <c r="M70" s="73">
        <v>44</v>
      </c>
      <c r="N70" s="73">
        <v>44</v>
      </c>
      <c r="O70" s="73">
        <v>44</v>
      </c>
      <c r="P70" s="78">
        <f t="shared" ref="P70:P71" si="48">IF(G70="","",SUM(K70:O70))</f>
        <v>242</v>
      </c>
      <c r="Q70" s="78">
        <f>IF(P70="","",Q69+P70)</f>
        <v>5764</v>
      </c>
      <c r="R70" s="74" t="s">
        <v>23</v>
      </c>
    </row>
    <row r="71" spans="1:18" ht="15.95" customHeight="1" x14ac:dyDescent="0.25">
      <c r="A71" s="47"/>
      <c r="B71" s="55"/>
      <c r="C71" s="9"/>
      <c r="D71" s="136"/>
      <c r="E71" s="56"/>
      <c r="F71" s="57"/>
      <c r="G71" s="72">
        <v>46167</v>
      </c>
      <c r="H71" s="73">
        <v>22</v>
      </c>
      <c r="I71" s="73"/>
      <c r="J71" s="73">
        <v>60</v>
      </c>
      <c r="K71" s="73">
        <v>66</v>
      </c>
      <c r="L71" s="73">
        <v>44</v>
      </c>
      <c r="M71" s="73">
        <v>44</v>
      </c>
      <c r="N71" s="73">
        <v>44</v>
      </c>
      <c r="O71" s="73">
        <v>44</v>
      </c>
      <c r="P71" s="78">
        <f t="shared" si="48"/>
        <v>242</v>
      </c>
      <c r="Q71" s="78">
        <f t="shared" ref="Q71:Q76" si="49">IF(P71="","",Q70+P71)</f>
        <v>6006</v>
      </c>
      <c r="R71" s="74" t="s">
        <v>23</v>
      </c>
    </row>
    <row r="72" spans="1:18" ht="15.95" customHeight="1" x14ac:dyDescent="0.25">
      <c r="A72" s="47"/>
      <c r="B72" s="55"/>
      <c r="C72" s="9"/>
      <c r="D72" s="136"/>
      <c r="E72" s="56"/>
      <c r="F72" s="57"/>
      <c r="G72" s="72">
        <v>46167</v>
      </c>
      <c r="H72" s="73">
        <v>22</v>
      </c>
      <c r="I72" s="73"/>
      <c r="J72" s="73">
        <v>61</v>
      </c>
      <c r="K72" s="73">
        <v>66</v>
      </c>
      <c r="L72" s="73">
        <v>44</v>
      </c>
      <c r="M72" s="73">
        <v>44</v>
      </c>
      <c r="N72" s="73">
        <v>44</v>
      </c>
      <c r="O72" s="73">
        <v>44</v>
      </c>
      <c r="P72" s="78">
        <f t="shared" ref="P72:P76" si="50">IF(G72="","",SUM(K72:O72))</f>
        <v>242</v>
      </c>
      <c r="Q72" s="78">
        <f t="shared" si="49"/>
        <v>6248</v>
      </c>
      <c r="R72" s="74" t="s">
        <v>23</v>
      </c>
    </row>
    <row r="73" spans="1:18" ht="15.95" customHeight="1" x14ac:dyDescent="0.25">
      <c r="A73" s="47"/>
      <c r="B73" s="55"/>
      <c r="C73" s="9"/>
      <c r="D73" s="136"/>
      <c r="E73" s="56"/>
      <c r="F73" s="57"/>
      <c r="G73" s="72">
        <v>46167</v>
      </c>
      <c r="H73" s="73">
        <v>22</v>
      </c>
      <c r="I73" s="73"/>
      <c r="J73" s="73">
        <v>62</v>
      </c>
      <c r="K73" s="73">
        <v>66</v>
      </c>
      <c r="L73" s="73">
        <v>44</v>
      </c>
      <c r="M73" s="73">
        <v>44</v>
      </c>
      <c r="N73" s="73">
        <v>44</v>
      </c>
      <c r="O73" s="73">
        <v>44</v>
      </c>
      <c r="P73" s="78">
        <f t="shared" si="50"/>
        <v>242</v>
      </c>
      <c r="Q73" s="78">
        <f t="shared" si="49"/>
        <v>6490</v>
      </c>
      <c r="R73" s="74" t="s">
        <v>23</v>
      </c>
    </row>
    <row r="74" spans="1:18" ht="15.95" customHeight="1" x14ac:dyDescent="0.25">
      <c r="A74" s="47"/>
      <c r="B74" s="55"/>
      <c r="C74" s="9"/>
      <c r="D74" s="136"/>
      <c r="E74" s="56"/>
      <c r="F74" s="57"/>
      <c r="G74" s="72">
        <v>46167</v>
      </c>
      <c r="H74" s="73">
        <v>22</v>
      </c>
      <c r="I74" s="73"/>
      <c r="J74" s="73">
        <v>63</v>
      </c>
      <c r="K74" s="73">
        <v>66</v>
      </c>
      <c r="L74" s="73">
        <v>44</v>
      </c>
      <c r="M74" s="73">
        <v>44</v>
      </c>
      <c r="N74" s="73">
        <v>44</v>
      </c>
      <c r="O74" s="73">
        <v>44</v>
      </c>
      <c r="P74" s="78">
        <f t="shared" si="50"/>
        <v>242</v>
      </c>
      <c r="Q74" s="78">
        <f t="shared" si="49"/>
        <v>6732</v>
      </c>
      <c r="R74" s="74" t="s">
        <v>23</v>
      </c>
    </row>
    <row r="75" spans="1:18" ht="15.95" customHeight="1" x14ac:dyDescent="0.25">
      <c r="A75" s="47"/>
      <c r="B75" s="55"/>
      <c r="C75" s="9"/>
      <c r="D75" s="136"/>
      <c r="E75" s="56"/>
      <c r="F75" s="57"/>
      <c r="G75" s="72">
        <v>46167</v>
      </c>
      <c r="H75" s="73">
        <v>22</v>
      </c>
      <c r="I75" s="73"/>
      <c r="J75" s="73">
        <v>64</v>
      </c>
      <c r="K75" s="73">
        <v>66</v>
      </c>
      <c r="L75" s="73">
        <v>44</v>
      </c>
      <c r="M75" s="73">
        <v>44</v>
      </c>
      <c r="N75" s="73">
        <v>44</v>
      </c>
      <c r="O75" s="73">
        <v>44</v>
      </c>
      <c r="P75" s="78">
        <f t="shared" si="50"/>
        <v>242</v>
      </c>
      <c r="Q75" s="78">
        <f t="shared" si="49"/>
        <v>6974</v>
      </c>
      <c r="R75" s="74" t="s">
        <v>23</v>
      </c>
    </row>
    <row r="76" spans="1:18" ht="15.95" customHeight="1" x14ac:dyDescent="0.25">
      <c r="A76" s="47"/>
      <c r="B76" s="55"/>
      <c r="C76" s="9"/>
      <c r="D76" s="136"/>
      <c r="E76" s="56"/>
      <c r="F76" s="57"/>
      <c r="G76" s="72">
        <v>46167</v>
      </c>
      <c r="H76" s="73">
        <v>22</v>
      </c>
      <c r="I76" s="73"/>
      <c r="J76" s="73">
        <v>65</v>
      </c>
      <c r="K76" s="73">
        <v>66</v>
      </c>
      <c r="L76" s="73">
        <v>44</v>
      </c>
      <c r="M76" s="73">
        <v>44</v>
      </c>
      <c r="N76" s="73">
        <v>44</v>
      </c>
      <c r="O76" s="73">
        <v>44</v>
      </c>
      <c r="P76" s="78">
        <f t="shared" si="50"/>
        <v>242</v>
      </c>
      <c r="Q76" s="78">
        <f t="shared" si="49"/>
        <v>7216</v>
      </c>
      <c r="R76" s="74" t="s">
        <v>23</v>
      </c>
    </row>
    <row r="77" spans="1:18" ht="15.95" customHeight="1" x14ac:dyDescent="0.25">
      <c r="A77" s="47"/>
      <c r="B77" s="55"/>
      <c r="C77" s="9"/>
      <c r="D77" s="136"/>
      <c r="E77" s="56"/>
      <c r="F77" s="57"/>
      <c r="G77" s="72">
        <v>46167</v>
      </c>
      <c r="H77" s="73">
        <v>22</v>
      </c>
      <c r="I77" s="73"/>
      <c r="J77" s="73">
        <v>66</v>
      </c>
      <c r="K77" s="73">
        <v>66</v>
      </c>
      <c r="L77" s="73">
        <v>44</v>
      </c>
      <c r="M77" s="73">
        <v>44</v>
      </c>
      <c r="N77" s="73">
        <v>44</v>
      </c>
      <c r="O77" s="73">
        <v>44</v>
      </c>
      <c r="P77" s="78">
        <f t="shared" ref="P77:P78" si="51">IF(G77="","",SUM(K77:O77))</f>
        <v>242</v>
      </c>
      <c r="Q77" s="78">
        <f t="shared" ref="Q77:Q78" si="52">IF(P77="","",Q76+P77)</f>
        <v>7458</v>
      </c>
      <c r="R77" s="74" t="s">
        <v>23</v>
      </c>
    </row>
    <row r="78" spans="1:18" ht="15.95" customHeight="1" x14ac:dyDescent="0.25">
      <c r="A78" s="47"/>
      <c r="B78" s="55"/>
      <c r="C78" s="9"/>
      <c r="D78" s="136"/>
      <c r="E78" s="56"/>
      <c r="F78" s="57"/>
      <c r="G78" s="72">
        <v>46167</v>
      </c>
      <c r="H78" s="73">
        <v>22</v>
      </c>
      <c r="I78" s="73"/>
      <c r="J78" s="73">
        <v>67</v>
      </c>
      <c r="K78" s="73">
        <v>66</v>
      </c>
      <c r="L78" s="73">
        <v>44</v>
      </c>
      <c r="M78" s="73">
        <v>44</v>
      </c>
      <c r="N78" s="73">
        <v>44</v>
      </c>
      <c r="O78" s="73">
        <v>44</v>
      </c>
      <c r="P78" s="78">
        <f t="shared" si="51"/>
        <v>242</v>
      </c>
      <c r="Q78" s="78">
        <f t="shared" si="52"/>
        <v>7700</v>
      </c>
      <c r="R78" s="74" t="s">
        <v>23</v>
      </c>
    </row>
    <row r="79" spans="1:18" ht="15.95" customHeight="1" x14ac:dyDescent="0.25">
      <c r="A79" s="47"/>
      <c r="B79" s="55"/>
      <c r="C79" s="9"/>
      <c r="D79" s="136"/>
      <c r="E79" s="56"/>
      <c r="F79" s="57"/>
      <c r="G79" s="72">
        <v>46167</v>
      </c>
      <c r="H79" s="73">
        <v>22</v>
      </c>
      <c r="I79" s="73"/>
      <c r="J79" s="73">
        <v>68</v>
      </c>
      <c r="K79" s="73">
        <v>66</v>
      </c>
      <c r="L79" s="73">
        <v>44</v>
      </c>
      <c r="M79" s="73">
        <v>44</v>
      </c>
      <c r="N79" s="73">
        <v>44</v>
      </c>
      <c r="O79" s="73">
        <v>44</v>
      </c>
      <c r="P79" s="78">
        <f t="shared" ref="P79:P82" si="53">IF(G79="","",SUM(K79:O79))</f>
        <v>242</v>
      </c>
      <c r="Q79" s="78">
        <f t="shared" ref="Q79:Q82" si="54">IF(P79="","",Q78+P79)</f>
        <v>7942</v>
      </c>
      <c r="R79" s="74" t="s">
        <v>23</v>
      </c>
    </row>
    <row r="80" spans="1:18" ht="15.95" customHeight="1" x14ac:dyDescent="0.25">
      <c r="A80" s="47"/>
      <c r="B80" s="55"/>
      <c r="C80" s="9"/>
      <c r="D80" s="136"/>
      <c r="E80" s="56"/>
      <c r="F80" s="57"/>
      <c r="G80" s="72">
        <v>46167</v>
      </c>
      <c r="H80" s="73">
        <v>22</v>
      </c>
      <c r="I80" s="73"/>
      <c r="J80" s="73">
        <v>69</v>
      </c>
      <c r="K80" s="73">
        <v>66</v>
      </c>
      <c r="L80" s="73">
        <v>44</v>
      </c>
      <c r="M80" s="73">
        <v>44</v>
      </c>
      <c r="N80" s="73">
        <v>44</v>
      </c>
      <c r="O80" s="73">
        <v>44</v>
      </c>
      <c r="P80" s="78">
        <f t="shared" si="53"/>
        <v>242</v>
      </c>
      <c r="Q80" s="78">
        <f t="shared" si="54"/>
        <v>8184</v>
      </c>
      <c r="R80" s="74" t="s">
        <v>23</v>
      </c>
    </row>
    <row r="81" spans="1:18" ht="15.95" customHeight="1" x14ac:dyDescent="0.25">
      <c r="A81" s="47"/>
      <c r="B81" s="55"/>
      <c r="C81" s="9"/>
      <c r="D81" s="136"/>
      <c r="E81" s="56"/>
      <c r="F81" s="57"/>
      <c r="G81" s="72">
        <v>46167</v>
      </c>
      <c r="H81" s="73">
        <v>22</v>
      </c>
      <c r="I81" s="73"/>
      <c r="J81" s="73">
        <v>70</v>
      </c>
      <c r="K81" s="73">
        <v>66</v>
      </c>
      <c r="L81" s="73">
        <v>44</v>
      </c>
      <c r="M81" s="73">
        <v>44</v>
      </c>
      <c r="N81" s="73">
        <v>44</v>
      </c>
      <c r="O81" s="73">
        <v>44</v>
      </c>
      <c r="P81" s="78">
        <f t="shared" si="53"/>
        <v>242</v>
      </c>
      <c r="Q81" s="78">
        <f t="shared" si="54"/>
        <v>8426</v>
      </c>
      <c r="R81" s="74" t="s">
        <v>23</v>
      </c>
    </row>
    <row r="82" spans="1:18" ht="15.95" customHeight="1" x14ac:dyDescent="0.25">
      <c r="A82" s="47"/>
      <c r="B82" s="55"/>
      <c r="C82" s="9"/>
      <c r="D82" s="136"/>
      <c r="E82" s="56"/>
      <c r="F82" s="57"/>
      <c r="G82" s="72">
        <v>46167</v>
      </c>
      <c r="H82" s="73">
        <v>22</v>
      </c>
      <c r="I82" s="73"/>
      <c r="J82" s="73">
        <v>71</v>
      </c>
      <c r="K82" s="73">
        <v>66</v>
      </c>
      <c r="L82" s="73">
        <v>44</v>
      </c>
      <c r="M82" s="73">
        <v>44</v>
      </c>
      <c r="N82" s="73">
        <v>44</v>
      </c>
      <c r="O82" s="73">
        <v>44</v>
      </c>
      <c r="P82" s="78">
        <f t="shared" si="53"/>
        <v>242</v>
      </c>
      <c r="Q82" s="78">
        <f t="shared" si="54"/>
        <v>8668</v>
      </c>
      <c r="R82" s="74" t="s">
        <v>23</v>
      </c>
    </row>
    <row r="83" spans="1:18" ht="15.95" customHeight="1" x14ac:dyDescent="0.25">
      <c r="A83" s="47"/>
      <c r="B83" s="55"/>
      <c r="C83" s="9"/>
      <c r="D83" s="136"/>
      <c r="E83" s="56"/>
      <c r="F83" s="57"/>
      <c r="G83" s="72">
        <v>46167</v>
      </c>
      <c r="H83" s="73">
        <v>22</v>
      </c>
      <c r="I83" s="73"/>
      <c r="J83" s="73">
        <v>72</v>
      </c>
      <c r="K83" s="73">
        <v>66</v>
      </c>
      <c r="L83" s="73">
        <v>44</v>
      </c>
      <c r="M83" s="73">
        <v>44</v>
      </c>
      <c r="N83" s="73">
        <v>44</v>
      </c>
      <c r="O83" s="73">
        <v>44</v>
      </c>
      <c r="P83" s="78">
        <f t="shared" ref="P83:P84" si="55">IF(G83="","",SUM(K83:O83))</f>
        <v>242</v>
      </c>
      <c r="Q83" s="78">
        <f t="shared" ref="Q83:Q84" si="56">IF(P83="","",Q82+P83)</f>
        <v>8910</v>
      </c>
      <c r="R83" s="74" t="s">
        <v>23</v>
      </c>
    </row>
    <row r="84" spans="1:18" ht="15.95" customHeight="1" x14ac:dyDescent="0.25">
      <c r="A84" s="47"/>
      <c r="B84" s="55"/>
      <c r="C84" s="9"/>
      <c r="D84" s="136"/>
      <c r="E84" s="56"/>
      <c r="F84" s="57"/>
      <c r="G84" s="72">
        <v>46167</v>
      </c>
      <c r="H84" s="73">
        <v>22</v>
      </c>
      <c r="I84" s="73"/>
      <c r="J84" s="73">
        <v>73</v>
      </c>
      <c r="K84" s="73">
        <v>66</v>
      </c>
      <c r="L84" s="73">
        <v>44</v>
      </c>
      <c r="M84" s="73">
        <v>44</v>
      </c>
      <c r="N84" s="73">
        <v>44</v>
      </c>
      <c r="O84" s="73">
        <v>44</v>
      </c>
      <c r="P84" s="78">
        <f t="shared" si="55"/>
        <v>242</v>
      </c>
      <c r="Q84" s="78">
        <f t="shared" si="56"/>
        <v>9152</v>
      </c>
      <c r="R84" s="74" t="s">
        <v>23</v>
      </c>
    </row>
    <row r="85" spans="1:18" ht="15.95" customHeight="1" x14ac:dyDescent="0.25">
      <c r="A85" s="47"/>
      <c r="B85" s="55"/>
      <c r="C85" s="9"/>
      <c r="D85" s="136"/>
      <c r="E85" s="56"/>
      <c r="F85" s="57"/>
      <c r="G85" s="72">
        <v>46167</v>
      </c>
      <c r="H85" s="73">
        <v>22</v>
      </c>
      <c r="I85" s="73"/>
      <c r="J85" s="73">
        <v>74</v>
      </c>
      <c r="K85" s="73">
        <v>66</v>
      </c>
      <c r="L85" s="73">
        <v>44</v>
      </c>
      <c r="M85" s="73">
        <v>44</v>
      </c>
      <c r="N85" s="73">
        <v>44</v>
      </c>
      <c r="O85" s="73">
        <v>44</v>
      </c>
      <c r="P85" s="78">
        <f t="shared" ref="P85:P88" si="57">IF(G85="","",SUM(K85:O85))</f>
        <v>242</v>
      </c>
      <c r="Q85" s="78">
        <f t="shared" ref="Q85:Q88" si="58">IF(P85="","",Q84+P85)</f>
        <v>9394</v>
      </c>
      <c r="R85" s="74" t="s">
        <v>23</v>
      </c>
    </row>
    <row r="86" spans="1:18" ht="15.95" customHeight="1" x14ac:dyDescent="0.25">
      <c r="A86" s="47"/>
      <c r="B86" s="55"/>
      <c r="C86" s="9"/>
      <c r="D86" s="136"/>
      <c r="E86" s="56"/>
      <c r="F86" s="57"/>
      <c r="G86" s="72">
        <v>46167</v>
      </c>
      <c r="H86" s="73">
        <v>22</v>
      </c>
      <c r="I86" s="73"/>
      <c r="J86" s="73">
        <v>75</v>
      </c>
      <c r="K86" s="73">
        <v>66</v>
      </c>
      <c r="L86" s="73">
        <v>44</v>
      </c>
      <c r="M86" s="73">
        <v>44</v>
      </c>
      <c r="N86" s="73">
        <v>44</v>
      </c>
      <c r="O86" s="73">
        <v>44</v>
      </c>
      <c r="P86" s="78">
        <f t="shared" si="57"/>
        <v>242</v>
      </c>
      <c r="Q86" s="78">
        <f t="shared" si="58"/>
        <v>9636</v>
      </c>
      <c r="R86" s="74" t="s">
        <v>23</v>
      </c>
    </row>
    <row r="87" spans="1:18" ht="15.95" customHeight="1" x14ac:dyDescent="0.25">
      <c r="A87" s="47"/>
      <c r="B87" s="55"/>
      <c r="C87" s="9"/>
      <c r="D87" s="136"/>
      <c r="E87" s="56"/>
      <c r="F87" s="57"/>
      <c r="G87" s="72">
        <v>46167</v>
      </c>
      <c r="H87" s="73">
        <v>22</v>
      </c>
      <c r="I87" s="73"/>
      <c r="J87" s="73">
        <v>76</v>
      </c>
      <c r="K87" s="73">
        <v>66</v>
      </c>
      <c r="L87" s="73">
        <v>44</v>
      </c>
      <c r="M87" s="73">
        <v>44</v>
      </c>
      <c r="N87" s="73">
        <v>44</v>
      </c>
      <c r="O87" s="73">
        <v>44</v>
      </c>
      <c r="P87" s="78">
        <f t="shared" si="57"/>
        <v>242</v>
      </c>
      <c r="Q87" s="78">
        <f t="shared" si="58"/>
        <v>9878</v>
      </c>
      <c r="R87" s="74" t="s">
        <v>23</v>
      </c>
    </row>
    <row r="88" spans="1:18" ht="15.95" customHeight="1" x14ac:dyDescent="0.25">
      <c r="A88" s="47"/>
      <c r="B88" s="55"/>
      <c r="C88" s="9"/>
      <c r="D88" s="136"/>
      <c r="E88" s="56"/>
      <c r="F88" s="57"/>
      <c r="G88" s="72">
        <v>46167</v>
      </c>
      <c r="H88" s="73">
        <v>22</v>
      </c>
      <c r="I88" s="73"/>
      <c r="J88" s="73">
        <v>77</v>
      </c>
      <c r="K88" s="73">
        <v>66</v>
      </c>
      <c r="L88" s="73">
        <v>44</v>
      </c>
      <c r="M88" s="73">
        <v>44</v>
      </c>
      <c r="N88" s="73">
        <v>44</v>
      </c>
      <c r="O88" s="73">
        <v>44</v>
      </c>
      <c r="P88" s="78">
        <f t="shared" si="57"/>
        <v>242</v>
      </c>
      <c r="Q88" s="78">
        <f t="shared" si="58"/>
        <v>10120</v>
      </c>
      <c r="R88" s="74" t="s">
        <v>23</v>
      </c>
    </row>
    <row r="89" spans="1:18" ht="15.95" customHeight="1" x14ac:dyDescent="0.25">
      <c r="A89" s="47"/>
      <c r="B89" s="55"/>
      <c r="C89" s="9"/>
      <c r="D89" s="136"/>
      <c r="E89" s="56"/>
      <c r="F89" s="57"/>
      <c r="G89" s="72">
        <v>46167</v>
      </c>
      <c r="H89" s="73">
        <v>22</v>
      </c>
      <c r="I89" s="73"/>
      <c r="J89" s="73">
        <v>78</v>
      </c>
      <c r="K89" s="73">
        <v>66</v>
      </c>
      <c r="L89" s="73">
        <v>44</v>
      </c>
      <c r="M89" s="73">
        <v>44</v>
      </c>
      <c r="N89" s="73">
        <v>44</v>
      </c>
      <c r="O89" s="73">
        <v>44</v>
      </c>
      <c r="P89" s="78">
        <f t="shared" ref="P89:P92" si="59">IF(G89="","",SUM(K89:O89))</f>
        <v>242</v>
      </c>
      <c r="Q89" s="78">
        <f t="shared" ref="Q89:Q92" si="60">IF(P89="","",Q88+P89)</f>
        <v>10362</v>
      </c>
      <c r="R89" s="74" t="s">
        <v>23</v>
      </c>
    </row>
    <row r="90" spans="1:18" ht="15.95" customHeight="1" x14ac:dyDescent="0.25">
      <c r="A90" s="47"/>
      <c r="B90" s="55"/>
      <c r="C90" s="9"/>
      <c r="D90" s="136"/>
      <c r="E90" s="56"/>
      <c r="F90" s="57"/>
      <c r="G90" s="72">
        <v>46167</v>
      </c>
      <c r="H90" s="73">
        <v>22</v>
      </c>
      <c r="I90" s="73"/>
      <c r="J90" s="73">
        <v>79</v>
      </c>
      <c r="K90" s="73">
        <v>66</v>
      </c>
      <c r="L90" s="73">
        <v>44</v>
      </c>
      <c r="M90" s="73">
        <v>44</v>
      </c>
      <c r="N90" s="73">
        <v>44</v>
      </c>
      <c r="O90" s="73">
        <v>44</v>
      </c>
      <c r="P90" s="78">
        <f t="shared" si="59"/>
        <v>242</v>
      </c>
      <c r="Q90" s="78">
        <f t="shared" si="60"/>
        <v>10604</v>
      </c>
      <c r="R90" s="74" t="s">
        <v>23</v>
      </c>
    </row>
    <row r="91" spans="1:18" ht="15.95" customHeight="1" x14ac:dyDescent="0.25">
      <c r="A91" s="47"/>
      <c r="B91" s="55"/>
      <c r="C91" s="9"/>
      <c r="D91" s="136"/>
      <c r="E91" s="56"/>
      <c r="F91" s="57"/>
      <c r="G91" s="72">
        <v>46167</v>
      </c>
      <c r="H91" s="73">
        <v>22</v>
      </c>
      <c r="I91" s="73"/>
      <c r="J91" s="73">
        <v>80</v>
      </c>
      <c r="K91" s="73">
        <v>66</v>
      </c>
      <c r="L91" s="73">
        <v>44</v>
      </c>
      <c r="M91" s="73">
        <v>44</v>
      </c>
      <c r="N91" s="73">
        <v>44</v>
      </c>
      <c r="O91" s="73">
        <v>44</v>
      </c>
      <c r="P91" s="78">
        <f t="shared" si="59"/>
        <v>242</v>
      </c>
      <c r="Q91" s="78">
        <f t="shared" si="60"/>
        <v>10846</v>
      </c>
      <c r="R91" s="74" t="s">
        <v>23</v>
      </c>
    </row>
    <row r="92" spans="1:18" ht="15.95" customHeight="1" x14ac:dyDescent="0.25">
      <c r="A92" s="47"/>
      <c r="B92" s="55"/>
      <c r="C92" s="9"/>
      <c r="D92" s="136"/>
      <c r="E92" s="56"/>
      <c r="F92" s="57"/>
      <c r="G92" s="72">
        <v>46167</v>
      </c>
      <c r="H92" s="73">
        <v>22</v>
      </c>
      <c r="I92" s="73"/>
      <c r="J92" s="73">
        <v>81</v>
      </c>
      <c r="K92" s="73">
        <v>66</v>
      </c>
      <c r="L92" s="73">
        <v>44</v>
      </c>
      <c r="M92" s="73">
        <v>44</v>
      </c>
      <c r="N92" s="73">
        <v>44</v>
      </c>
      <c r="O92" s="73">
        <v>44</v>
      </c>
      <c r="P92" s="78">
        <f t="shared" si="59"/>
        <v>242</v>
      </c>
      <c r="Q92" s="78">
        <f t="shared" si="60"/>
        <v>11088</v>
      </c>
      <c r="R92" s="74" t="s">
        <v>23</v>
      </c>
    </row>
    <row r="93" spans="1:18" ht="15.95" customHeight="1" x14ac:dyDescent="0.25">
      <c r="A93" s="47"/>
      <c r="B93" s="55"/>
      <c r="C93" s="9"/>
      <c r="D93" s="136"/>
      <c r="E93" s="56"/>
      <c r="F93" s="57"/>
      <c r="G93" s="72">
        <v>46168</v>
      </c>
      <c r="H93" s="73">
        <v>22</v>
      </c>
      <c r="I93" s="73"/>
      <c r="J93" s="73">
        <v>82</v>
      </c>
      <c r="K93" s="73">
        <v>66</v>
      </c>
      <c r="L93" s="73">
        <v>44</v>
      </c>
      <c r="M93" s="73">
        <v>44</v>
      </c>
      <c r="N93" s="73">
        <v>44</v>
      </c>
      <c r="O93" s="73">
        <v>44</v>
      </c>
      <c r="P93" s="78">
        <f t="shared" ref="P93:P94" si="61">IF(G93="","",SUM(K93:O93))</f>
        <v>242</v>
      </c>
      <c r="Q93" s="78">
        <f t="shared" ref="Q93:Q94" si="62">IF(P93="","",Q92+P93)</f>
        <v>11330</v>
      </c>
      <c r="R93" s="74" t="s">
        <v>23</v>
      </c>
    </row>
    <row r="94" spans="1:18" ht="15.95" customHeight="1" x14ac:dyDescent="0.25">
      <c r="A94" s="47"/>
      <c r="B94" s="55"/>
      <c r="C94" s="9"/>
      <c r="D94" s="136"/>
      <c r="E94" s="56"/>
      <c r="F94" s="57"/>
      <c r="G94" s="72">
        <v>46168</v>
      </c>
      <c r="H94" s="73">
        <v>22</v>
      </c>
      <c r="I94" s="73"/>
      <c r="J94" s="73">
        <v>83</v>
      </c>
      <c r="K94" s="73">
        <v>66</v>
      </c>
      <c r="L94" s="73">
        <v>44</v>
      </c>
      <c r="M94" s="73">
        <v>44</v>
      </c>
      <c r="N94" s="73">
        <v>44</v>
      </c>
      <c r="O94" s="73">
        <v>44</v>
      </c>
      <c r="P94" s="78">
        <f t="shared" si="61"/>
        <v>242</v>
      </c>
      <c r="Q94" s="78">
        <f t="shared" si="62"/>
        <v>11572</v>
      </c>
      <c r="R94" s="74" t="s">
        <v>23</v>
      </c>
    </row>
    <row r="95" spans="1:18" ht="15.95" customHeight="1" x14ac:dyDescent="0.25">
      <c r="A95" s="47"/>
      <c r="B95" s="55"/>
      <c r="C95" s="9"/>
      <c r="D95" s="136"/>
      <c r="E95" s="56"/>
      <c r="F95" s="57"/>
      <c r="G95" s="72">
        <v>46168</v>
      </c>
      <c r="H95" s="73">
        <v>22</v>
      </c>
      <c r="I95" s="73"/>
      <c r="J95" s="73">
        <v>84</v>
      </c>
      <c r="K95" s="73">
        <v>66</v>
      </c>
      <c r="L95" s="73">
        <v>44</v>
      </c>
      <c r="M95" s="73">
        <v>44</v>
      </c>
      <c r="N95" s="73">
        <v>44</v>
      </c>
      <c r="O95" s="73">
        <v>44</v>
      </c>
      <c r="P95" s="78">
        <f t="shared" ref="P95:P96" si="63">IF(G95="","",SUM(K95:O95))</f>
        <v>242</v>
      </c>
      <c r="Q95" s="78">
        <f t="shared" ref="Q95:Q96" si="64">IF(P95="","",Q94+P95)</f>
        <v>11814</v>
      </c>
      <c r="R95" s="74" t="s">
        <v>23</v>
      </c>
    </row>
    <row r="96" spans="1:18" ht="15.95" customHeight="1" x14ac:dyDescent="0.25">
      <c r="A96" s="47"/>
      <c r="B96" s="55"/>
      <c r="C96" s="9"/>
      <c r="D96" s="136"/>
      <c r="E96" s="56"/>
      <c r="F96" s="57"/>
      <c r="G96" s="72">
        <v>46168</v>
      </c>
      <c r="H96" s="73">
        <v>22</v>
      </c>
      <c r="I96" s="73"/>
      <c r="J96" s="73">
        <v>85</v>
      </c>
      <c r="K96" s="73">
        <v>66</v>
      </c>
      <c r="L96" s="73">
        <v>44</v>
      </c>
      <c r="M96" s="73">
        <v>44</v>
      </c>
      <c r="N96" s="73">
        <v>44</v>
      </c>
      <c r="O96" s="73">
        <v>44</v>
      </c>
      <c r="P96" s="78">
        <f t="shared" si="63"/>
        <v>242</v>
      </c>
      <c r="Q96" s="78">
        <f t="shared" si="64"/>
        <v>12056</v>
      </c>
      <c r="R96" s="74" t="s">
        <v>23</v>
      </c>
    </row>
    <row r="97" spans="1:18" ht="15.95" customHeight="1" x14ac:dyDescent="0.25">
      <c r="A97" s="47"/>
      <c r="B97" s="55"/>
      <c r="C97" s="9"/>
      <c r="D97" s="136"/>
      <c r="E97" s="56"/>
      <c r="F97" s="57"/>
      <c r="G97" s="72">
        <v>46168</v>
      </c>
      <c r="H97" s="73">
        <v>22</v>
      </c>
      <c r="I97" s="73"/>
      <c r="J97" s="73">
        <v>86</v>
      </c>
      <c r="K97" s="73">
        <v>66</v>
      </c>
      <c r="L97" s="73">
        <v>44</v>
      </c>
      <c r="M97" s="73">
        <v>44</v>
      </c>
      <c r="N97" s="73">
        <v>44</v>
      </c>
      <c r="O97" s="73">
        <v>44</v>
      </c>
      <c r="P97" s="78">
        <f t="shared" ref="P97" si="65">IF(G97="","",SUM(K97:O97))</f>
        <v>242</v>
      </c>
      <c r="Q97" s="78">
        <f t="shared" ref="Q97" si="66">IF(P97="","",Q96+P97)</f>
        <v>12298</v>
      </c>
      <c r="R97" s="74" t="s">
        <v>23</v>
      </c>
    </row>
    <row r="98" spans="1:18" ht="15.95" customHeight="1" x14ac:dyDescent="0.25">
      <c r="A98" s="47"/>
      <c r="B98" s="55"/>
      <c r="C98" s="9"/>
      <c r="D98" s="136"/>
      <c r="E98" s="56"/>
      <c r="F98" s="57"/>
      <c r="G98" s="72">
        <v>46168</v>
      </c>
      <c r="H98" s="73">
        <v>18</v>
      </c>
      <c r="I98" s="73"/>
      <c r="J98" s="73">
        <v>87</v>
      </c>
      <c r="K98" s="73">
        <f>18*3</f>
        <v>54</v>
      </c>
      <c r="L98" s="73">
        <v>36</v>
      </c>
      <c r="M98" s="73">
        <v>36</v>
      </c>
      <c r="N98" s="73">
        <v>36</v>
      </c>
      <c r="O98" s="73">
        <v>36</v>
      </c>
      <c r="P98" s="78">
        <f t="shared" ref="P98:P100" si="67">IF(G98="","",SUM(K98:O98))</f>
        <v>198</v>
      </c>
      <c r="Q98" s="78">
        <f t="shared" ref="Q98:Q100" si="68">IF(P98="","",Q97+P98)</f>
        <v>12496</v>
      </c>
      <c r="R98" s="74" t="s">
        <v>23</v>
      </c>
    </row>
    <row r="99" spans="1:18" ht="15.95" customHeight="1" x14ac:dyDescent="0.25">
      <c r="A99" s="47"/>
      <c r="B99" s="55"/>
      <c r="C99" s="9"/>
      <c r="D99" s="136"/>
      <c r="E99" s="56"/>
      <c r="F99" s="57"/>
      <c r="G99" s="72">
        <v>46180</v>
      </c>
      <c r="H99" s="73">
        <v>22</v>
      </c>
      <c r="I99" s="73"/>
      <c r="J99" s="73">
        <v>88</v>
      </c>
      <c r="K99" s="73">
        <f t="shared" ref="K99:K105" si="69">22*3</f>
        <v>66</v>
      </c>
      <c r="L99" s="73">
        <f t="shared" ref="L99:L105" si="70">22*2</f>
        <v>44</v>
      </c>
      <c r="M99" s="73">
        <f t="shared" ref="M99:O105" si="71">22*2</f>
        <v>44</v>
      </c>
      <c r="N99" s="73">
        <f t="shared" si="71"/>
        <v>44</v>
      </c>
      <c r="O99" s="73">
        <f t="shared" si="71"/>
        <v>44</v>
      </c>
      <c r="P99" s="78">
        <f t="shared" si="67"/>
        <v>242</v>
      </c>
      <c r="Q99" s="78">
        <f t="shared" si="68"/>
        <v>12738</v>
      </c>
      <c r="R99" s="74" t="s">
        <v>23</v>
      </c>
    </row>
    <row r="100" spans="1:18" ht="15.95" customHeight="1" x14ac:dyDescent="0.25">
      <c r="A100" s="47"/>
      <c r="B100" s="55"/>
      <c r="C100" s="9"/>
      <c r="D100" s="136"/>
      <c r="E100" s="56"/>
      <c r="F100" s="57"/>
      <c r="G100" s="72">
        <v>46180</v>
      </c>
      <c r="H100" s="73">
        <v>22</v>
      </c>
      <c r="I100" s="73"/>
      <c r="J100" s="73">
        <v>89</v>
      </c>
      <c r="K100" s="73">
        <f t="shared" si="69"/>
        <v>66</v>
      </c>
      <c r="L100" s="73">
        <f t="shared" si="70"/>
        <v>44</v>
      </c>
      <c r="M100" s="73">
        <f t="shared" si="71"/>
        <v>44</v>
      </c>
      <c r="N100" s="73">
        <f t="shared" si="71"/>
        <v>44</v>
      </c>
      <c r="O100" s="73">
        <f t="shared" si="71"/>
        <v>44</v>
      </c>
      <c r="P100" s="78">
        <f t="shared" si="67"/>
        <v>242</v>
      </c>
      <c r="Q100" s="78">
        <f t="shared" si="68"/>
        <v>12980</v>
      </c>
      <c r="R100" s="74" t="s">
        <v>23</v>
      </c>
    </row>
    <row r="101" spans="1:18" ht="15.95" customHeight="1" x14ac:dyDescent="0.25">
      <c r="A101" s="47"/>
      <c r="B101" s="55"/>
      <c r="C101" s="9"/>
      <c r="D101" s="136"/>
      <c r="E101" s="56"/>
      <c r="F101" s="57"/>
      <c r="G101" s="72">
        <v>46180</v>
      </c>
      <c r="H101" s="73">
        <v>22</v>
      </c>
      <c r="I101" s="73"/>
      <c r="J101" s="73">
        <v>90</v>
      </c>
      <c r="K101" s="73">
        <f t="shared" si="69"/>
        <v>66</v>
      </c>
      <c r="L101" s="73">
        <f t="shared" si="70"/>
        <v>44</v>
      </c>
      <c r="M101" s="73">
        <f t="shared" si="71"/>
        <v>44</v>
      </c>
      <c r="N101" s="73">
        <f t="shared" si="71"/>
        <v>44</v>
      </c>
      <c r="O101" s="73">
        <f t="shared" si="71"/>
        <v>44</v>
      </c>
      <c r="P101" s="78">
        <f t="shared" ref="P101:P103" si="72">IF(G101="","",SUM(K101:O101))</f>
        <v>242</v>
      </c>
      <c r="Q101" s="78">
        <f t="shared" ref="Q101:Q103" si="73">IF(P101="","",Q100+P101)</f>
        <v>13222</v>
      </c>
      <c r="R101" s="74" t="s">
        <v>23</v>
      </c>
    </row>
    <row r="102" spans="1:18" ht="15.95" customHeight="1" x14ac:dyDescent="0.25">
      <c r="A102" s="47"/>
      <c r="B102" s="55"/>
      <c r="C102" s="9"/>
      <c r="D102" s="136"/>
      <c r="E102" s="56"/>
      <c r="F102" s="57"/>
      <c r="G102" s="72">
        <v>46180</v>
      </c>
      <c r="H102" s="73">
        <v>22</v>
      </c>
      <c r="I102" s="73"/>
      <c r="J102" s="73">
        <v>91</v>
      </c>
      <c r="K102" s="73">
        <f t="shared" si="69"/>
        <v>66</v>
      </c>
      <c r="L102" s="73">
        <f t="shared" si="70"/>
        <v>44</v>
      </c>
      <c r="M102" s="73">
        <f t="shared" si="71"/>
        <v>44</v>
      </c>
      <c r="N102" s="73">
        <f t="shared" si="71"/>
        <v>44</v>
      </c>
      <c r="O102" s="73">
        <f t="shared" si="71"/>
        <v>44</v>
      </c>
      <c r="P102" s="78">
        <f t="shared" si="72"/>
        <v>242</v>
      </c>
      <c r="Q102" s="78">
        <f t="shared" si="73"/>
        <v>13464</v>
      </c>
      <c r="R102" s="74" t="s">
        <v>23</v>
      </c>
    </row>
    <row r="103" spans="1:18" ht="15.95" customHeight="1" x14ac:dyDescent="0.25">
      <c r="A103" s="47"/>
      <c r="B103" s="55"/>
      <c r="C103" s="9"/>
      <c r="D103" s="136"/>
      <c r="E103" s="56"/>
      <c r="F103" s="57"/>
      <c r="G103" s="72">
        <v>46180</v>
      </c>
      <c r="H103" s="73">
        <v>22</v>
      </c>
      <c r="I103" s="73"/>
      <c r="J103" s="73">
        <v>92</v>
      </c>
      <c r="K103" s="73">
        <f t="shared" si="69"/>
        <v>66</v>
      </c>
      <c r="L103" s="73">
        <f t="shared" si="70"/>
        <v>44</v>
      </c>
      <c r="M103" s="73">
        <f t="shared" si="71"/>
        <v>44</v>
      </c>
      <c r="N103" s="73">
        <f t="shared" si="71"/>
        <v>44</v>
      </c>
      <c r="O103" s="73">
        <f t="shared" si="71"/>
        <v>44</v>
      </c>
      <c r="P103" s="78">
        <f t="shared" si="72"/>
        <v>242</v>
      </c>
      <c r="Q103" s="78">
        <f t="shared" si="73"/>
        <v>13706</v>
      </c>
      <c r="R103" s="74" t="s">
        <v>23</v>
      </c>
    </row>
    <row r="104" spans="1:18" ht="15.95" customHeight="1" x14ac:dyDescent="0.25">
      <c r="A104" s="47"/>
      <c r="B104" s="55"/>
      <c r="C104" s="9"/>
      <c r="D104" s="136"/>
      <c r="E104" s="56"/>
      <c r="F104" s="57"/>
      <c r="G104" s="72">
        <v>46180</v>
      </c>
      <c r="H104" s="73">
        <v>22</v>
      </c>
      <c r="I104" s="73"/>
      <c r="J104" s="73">
        <v>93</v>
      </c>
      <c r="K104" s="73">
        <f t="shared" si="69"/>
        <v>66</v>
      </c>
      <c r="L104" s="73">
        <f t="shared" si="70"/>
        <v>44</v>
      </c>
      <c r="M104" s="73">
        <f t="shared" si="71"/>
        <v>44</v>
      </c>
      <c r="N104" s="73">
        <f t="shared" si="71"/>
        <v>44</v>
      </c>
      <c r="O104" s="73">
        <f t="shared" si="71"/>
        <v>44</v>
      </c>
      <c r="P104" s="78">
        <f t="shared" ref="P104" si="74">IF(G104="","",SUM(K104:O104))</f>
        <v>242</v>
      </c>
      <c r="Q104" s="78">
        <f t="shared" ref="Q104" si="75">IF(P104="","",Q103+P104)</f>
        <v>13948</v>
      </c>
      <c r="R104" s="74" t="s">
        <v>23</v>
      </c>
    </row>
    <row r="105" spans="1:18" ht="15.95" customHeight="1" x14ac:dyDescent="0.25">
      <c r="A105" s="47"/>
      <c r="B105" s="55"/>
      <c r="C105" s="9"/>
      <c r="D105" s="136"/>
      <c r="E105" s="56"/>
      <c r="F105" s="57"/>
      <c r="G105" s="72">
        <v>46181</v>
      </c>
      <c r="H105" s="73">
        <v>22</v>
      </c>
      <c r="I105" s="73"/>
      <c r="J105" s="73">
        <v>94</v>
      </c>
      <c r="K105" s="73">
        <f t="shared" si="69"/>
        <v>66</v>
      </c>
      <c r="L105" s="73">
        <f t="shared" si="70"/>
        <v>44</v>
      </c>
      <c r="M105" s="73">
        <f t="shared" si="71"/>
        <v>44</v>
      </c>
      <c r="N105" s="73">
        <f t="shared" si="71"/>
        <v>44</v>
      </c>
      <c r="O105" s="73">
        <f t="shared" si="71"/>
        <v>44</v>
      </c>
      <c r="P105" s="78">
        <f t="shared" ref="P105" si="76">IF(G105="","",SUM(K105:O105))</f>
        <v>242</v>
      </c>
      <c r="Q105" s="78">
        <f t="shared" ref="Q105" si="77">IF(P105="","",Q104+P105)</f>
        <v>14190</v>
      </c>
      <c r="R105" s="74" t="s">
        <v>23</v>
      </c>
    </row>
    <row r="106" spans="1:18" ht="15.95" customHeight="1" x14ac:dyDescent="0.25">
      <c r="A106" s="47"/>
      <c r="B106" s="55"/>
      <c r="C106" s="9"/>
      <c r="D106" s="136"/>
      <c r="E106" s="56"/>
      <c r="F106" s="57"/>
      <c r="G106" s="72">
        <v>46181</v>
      </c>
      <c r="H106" s="73">
        <v>19</v>
      </c>
      <c r="I106" s="73"/>
      <c r="J106" s="73">
        <v>95</v>
      </c>
      <c r="K106" s="73">
        <f>19*3</f>
        <v>57</v>
      </c>
      <c r="L106" s="73">
        <v>38</v>
      </c>
      <c r="M106" s="73">
        <v>38</v>
      </c>
      <c r="N106" s="73">
        <v>38</v>
      </c>
      <c r="O106" s="73">
        <v>38</v>
      </c>
      <c r="P106" s="78">
        <f t="shared" ref="P106:P107" si="78">IF(G106="","",SUM(K106:O106))</f>
        <v>209</v>
      </c>
      <c r="Q106" s="78">
        <f t="shared" ref="Q106:Q107" si="79">IF(P106="","",Q105+P106)</f>
        <v>14399</v>
      </c>
      <c r="R106" s="74" t="s">
        <v>23</v>
      </c>
    </row>
    <row r="107" spans="1:18" ht="15.95" customHeight="1" thickBot="1" x14ac:dyDescent="0.3">
      <c r="A107" s="47"/>
      <c r="B107" s="55"/>
      <c r="C107" s="9"/>
      <c r="D107" s="136"/>
      <c r="E107" s="56"/>
      <c r="F107" s="57"/>
      <c r="G107" s="118"/>
      <c r="H107" s="119"/>
      <c r="I107" s="119"/>
      <c r="J107" s="119"/>
      <c r="K107" s="119"/>
      <c r="L107" s="119"/>
      <c r="M107" s="119"/>
      <c r="N107" s="119"/>
      <c r="O107" s="119"/>
      <c r="P107" s="120" t="str">
        <f t="shared" si="78"/>
        <v/>
      </c>
      <c r="Q107" s="120" t="str">
        <f t="shared" si="79"/>
        <v/>
      </c>
      <c r="R107" s="121"/>
    </row>
    <row r="108" spans="1:18" ht="19.5" customHeight="1" thickBot="1" x14ac:dyDescent="0.3">
      <c r="A108" s="48"/>
      <c r="B108" s="58"/>
      <c r="C108" s="58"/>
      <c r="D108" s="138"/>
      <c r="E108" s="59"/>
      <c r="F108" s="58"/>
      <c r="G108" s="19"/>
      <c r="H108" s="20"/>
      <c r="I108" s="21"/>
      <c r="J108" s="22" t="s">
        <v>11</v>
      </c>
      <c r="K108" s="38">
        <f>SUM(K47:K107)</f>
        <v>3927</v>
      </c>
      <c r="L108" s="38">
        <f>SUM(L47:L107)</f>
        <v>2618</v>
      </c>
      <c r="M108" s="38">
        <f>SUM(M47:M107)</f>
        <v>2618</v>
      </c>
      <c r="N108" s="38">
        <f>SUM(N47:N107)</f>
        <v>2618</v>
      </c>
      <c r="O108" s="38">
        <f>SUM(O47:O107)</f>
        <v>2618</v>
      </c>
      <c r="P108" s="38">
        <f>SUM(K108:O108)</f>
        <v>14399</v>
      </c>
      <c r="Q108" s="23"/>
      <c r="R108" s="82"/>
    </row>
    <row r="109" spans="1:18" ht="18.75" customHeight="1" thickBot="1" x14ac:dyDescent="0.3">
      <c r="A109" s="49"/>
      <c r="B109" s="60"/>
      <c r="C109" s="60"/>
      <c r="D109" s="139"/>
      <c r="E109" s="60"/>
      <c r="F109" s="60"/>
      <c r="G109" s="24"/>
      <c r="H109" s="24"/>
      <c r="I109" s="25"/>
      <c r="J109" s="26" t="s">
        <v>12</v>
      </c>
      <c r="K109" s="39">
        <f>IF(K45="","",K108-K45)</f>
        <v>-315</v>
      </c>
      <c r="L109" s="39">
        <f>IF(L45="","",L108-L45)</f>
        <v>-210</v>
      </c>
      <c r="M109" s="39">
        <f>IF(M45="","",M108-M45)</f>
        <v>-210</v>
      </c>
      <c r="N109" s="39">
        <f>IF(N45="","",N108-N45)</f>
        <v>-210</v>
      </c>
      <c r="O109" s="39">
        <f>IF(O45="","",O108-O45)</f>
        <v>-210</v>
      </c>
      <c r="P109" s="39">
        <f>SUM(K109:O109)</f>
        <v>-1155</v>
      </c>
      <c r="Q109" s="27"/>
      <c r="R109" s="83"/>
    </row>
    <row r="110" spans="1:18" ht="18.75" customHeight="1" x14ac:dyDescent="0.25">
      <c r="A110" s="43"/>
      <c r="E110" s="43"/>
      <c r="I110"/>
      <c r="J110" s="130"/>
      <c r="K110" s="131"/>
      <c r="L110" s="131"/>
      <c r="M110" s="131"/>
      <c r="N110" s="131"/>
      <c r="O110" s="131"/>
      <c r="P110" s="131"/>
      <c r="Q110" s="29"/>
    </row>
    <row r="111" spans="1:18" s="1" customFormat="1" ht="18.75" customHeight="1" thickBot="1" x14ac:dyDescent="0.35">
      <c r="A111" s="46"/>
      <c r="B111" s="41"/>
      <c r="C111" s="41"/>
      <c r="D111" s="133"/>
      <c r="E111" s="41"/>
      <c r="F111" s="41"/>
      <c r="I111" s="90" t="s">
        <v>26</v>
      </c>
      <c r="K111" s="30"/>
      <c r="L111" s="30"/>
      <c r="M111" s="30"/>
      <c r="N111" s="30"/>
      <c r="O111" s="30"/>
      <c r="P111" s="30"/>
      <c r="Q111" s="30"/>
      <c r="R111" s="81"/>
    </row>
    <row r="112" spans="1:18" s="2" customFormat="1" ht="27" customHeight="1" thickBot="1" x14ac:dyDescent="0.25">
      <c r="A112" s="91"/>
      <c r="B112" s="51"/>
      <c r="C112" s="51"/>
      <c r="D112" s="134"/>
      <c r="E112" s="52"/>
      <c r="F112" s="53"/>
      <c r="G112" s="15"/>
      <c r="H112" s="15"/>
      <c r="I112" s="15"/>
      <c r="J112" s="16" t="s">
        <v>16</v>
      </c>
      <c r="K112" s="17">
        <v>3918</v>
      </c>
      <c r="L112" s="17">
        <v>2612</v>
      </c>
      <c r="M112" s="17">
        <v>2612</v>
      </c>
      <c r="N112" s="17">
        <v>2612</v>
      </c>
      <c r="O112" s="17">
        <v>2612</v>
      </c>
      <c r="P112" s="18">
        <f>SUM(K112:O112)</f>
        <v>14366</v>
      </c>
      <c r="Q112" s="37"/>
      <c r="R112" s="76">
        <v>46215</v>
      </c>
    </row>
    <row r="113" spans="1:18" s="13" customFormat="1" ht="30.75" customHeight="1" thickBot="1" x14ac:dyDescent="0.2">
      <c r="A113" s="44" t="s">
        <v>17</v>
      </c>
      <c r="B113" s="50" t="s">
        <v>13</v>
      </c>
      <c r="C113" s="50" t="s">
        <v>14</v>
      </c>
      <c r="D113" s="135" t="s">
        <v>9</v>
      </c>
      <c r="E113" s="50" t="s">
        <v>22</v>
      </c>
      <c r="F113" s="50" t="s">
        <v>8</v>
      </c>
      <c r="G113" s="10" t="s">
        <v>7</v>
      </c>
      <c r="H113" s="10" t="s">
        <v>5</v>
      </c>
      <c r="I113" s="10" t="s">
        <v>6</v>
      </c>
      <c r="J113" s="11" t="s">
        <v>4</v>
      </c>
      <c r="K113" s="14" t="s">
        <v>28</v>
      </c>
      <c r="L113" s="14" t="s">
        <v>29</v>
      </c>
      <c r="M113" s="14" t="s">
        <v>1</v>
      </c>
      <c r="N113" s="14" t="s">
        <v>24</v>
      </c>
      <c r="O113" s="14" t="s">
        <v>25</v>
      </c>
      <c r="P113" s="12" t="s">
        <v>10</v>
      </c>
      <c r="Q113" s="12" t="s">
        <v>3</v>
      </c>
      <c r="R113" s="85" t="s">
        <v>0</v>
      </c>
    </row>
    <row r="114" spans="1:18" s="3" customFormat="1" ht="15.95" customHeight="1" x14ac:dyDescent="0.2">
      <c r="A114" s="86" t="s">
        <v>32</v>
      </c>
      <c r="B114" s="87" t="s">
        <v>31</v>
      </c>
      <c r="C114" s="87">
        <v>14223</v>
      </c>
      <c r="D114" s="87" t="s">
        <v>35</v>
      </c>
      <c r="E114" s="88">
        <f>P112</f>
        <v>14366</v>
      </c>
      <c r="F114" s="89"/>
      <c r="G114" s="4">
        <v>46183</v>
      </c>
      <c r="H114" s="125">
        <v>22</v>
      </c>
      <c r="I114" s="125"/>
      <c r="J114" s="125">
        <v>1</v>
      </c>
      <c r="K114" s="5">
        <f>22*3</f>
        <v>66</v>
      </c>
      <c r="L114" s="5">
        <f>22*2</f>
        <v>44</v>
      </c>
      <c r="M114" s="5">
        <f t="shared" ref="M114:O123" si="80">22*2</f>
        <v>44</v>
      </c>
      <c r="N114" s="5">
        <f t="shared" si="80"/>
        <v>44</v>
      </c>
      <c r="O114" s="5">
        <f t="shared" si="80"/>
        <v>44</v>
      </c>
      <c r="P114" s="6">
        <f>IF(G114="","",SUM(K114:O114))</f>
        <v>242</v>
      </c>
      <c r="Q114" s="7">
        <f>IF(P114="","",P114)</f>
        <v>242</v>
      </c>
      <c r="R114" s="79" t="s">
        <v>23</v>
      </c>
    </row>
    <row r="115" spans="1:18" ht="15.95" customHeight="1" x14ac:dyDescent="0.25">
      <c r="A115" s="47" t="s">
        <v>37</v>
      </c>
      <c r="B115" s="55"/>
      <c r="C115" s="9"/>
      <c r="D115" s="136" t="s">
        <v>44</v>
      </c>
      <c r="E115" s="56"/>
      <c r="F115" s="57"/>
      <c r="G115" s="8">
        <v>46183</v>
      </c>
      <c r="H115" s="125">
        <v>22</v>
      </c>
      <c r="I115" s="119"/>
      <c r="J115" s="119">
        <v>2</v>
      </c>
      <c r="K115" s="5">
        <f t="shared" ref="K115:K123" si="81">22*3</f>
        <v>66</v>
      </c>
      <c r="L115" s="5">
        <f t="shared" ref="L115:L123" si="82">22*2</f>
        <v>44</v>
      </c>
      <c r="M115" s="5">
        <f t="shared" si="80"/>
        <v>44</v>
      </c>
      <c r="N115" s="5">
        <f t="shared" si="80"/>
        <v>44</v>
      </c>
      <c r="O115" s="5">
        <f t="shared" si="80"/>
        <v>44</v>
      </c>
      <c r="P115" s="6">
        <f>IF(G115="","",SUM(K115:O115))</f>
        <v>242</v>
      </c>
      <c r="Q115" s="6">
        <f>IF(P115="","",Q114+P115)</f>
        <v>484</v>
      </c>
      <c r="R115" s="42" t="s">
        <v>23</v>
      </c>
    </row>
    <row r="116" spans="1:18" ht="15.95" customHeight="1" x14ac:dyDescent="0.25">
      <c r="A116" s="47"/>
      <c r="B116" s="55"/>
      <c r="C116" s="9"/>
      <c r="D116" s="137"/>
      <c r="E116" s="56"/>
      <c r="F116" s="57"/>
      <c r="G116" s="8">
        <v>46183</v>
      </c>
      <c r="H116" s="125">
        <v>22</v>
      </c>
      <c r="I116" s="119"/>
      <c r="J116" s="119">
        <v>3</v>
      </c>
      <c r="K116" s="5">
        <f t="shared" si="81"/>
        <v>66</v>
      </c>
      <c r="L116" s="5">
        <f t="shared" si="82"/>
        <v>44</v>
      </c>
      <c r="M116" s="5">
        <f t="shared" si="80"/>
        <v>44</v>
      </c>
      <c r="N116" s="5">
        <f t="shared" si="80"/>
        <v>44</v>
      </c>
      <c r="O116" s="5">
        <f t="shared" si="80"/>
        <v>44</v>
      </c>
      <c r="P116" s="6">
        <f>IF(G116="","",SUM(K116:O116))</f>
        <v>242</v>
      </c>
      <c r="Q116" s="6">
        <f t="shared" ref="Q116" si="83">IF(P116="","",Q115+P116)</f>
        <v>726</v>
      </c>
      <c r="R116" s="42" t="s">
        <v>23</v>
      </c>
    </row>
    <row r="117" spans="1:18" ht="15.95" customHeight="1" x14ac:dyDescent="0.25">
      <c r="A117" s="47"/>
      <c r="B117" s="55"/>
      <c r="C117" s="9"/>
      <c r="D117" s="136"/>
      <c r="E117" s="56"/>
      <c r="F117" s="57"/>
      <c r="G117" s="72">
        <v>46184</v>
      </c>
      <c r="H117" s="119">
        <v>22</v>
      </c>
      <c r="I117" s="119"/>
      <c r="J117" s="119">
        <v>4</v>
      </c>
      <c r="K117" s="5">
        <f t="shared" si="81"/>
        <v>66</v>
      </c>
      <c r="L117" s="5">
        <f t="shared" si="82"/>
        <v>44</v>
      </c>
      <c r="M117" s="5">
        <f t="shared" si="80"/>
        <v>44</v>
      </c>
      <c r="N117" s="5">
        <f t="shared" si="80"/>
        <v>44</v>
      </c>
      <c r="O117" s="5">
        <f t="shared" si="80"/>
        <v>44</v>
      </c>
      <c r="P117" s="6">
        <f>IF(G117="","",SUM(K117:O117))</f>
        <v>242</v>
      </c>
      <c r="Q117" s="6">
        <f t="shared" ref="Q117" si="84">IF(P117="","",Q116+P117)</f>
        <v>968</v>
      </c>
      <c r="R117" s="42" t="s">
        <v>23</v>
      </c>
    </row>
    <row r="118" spans="1:18" ht="15.95" customHeight="1" x14ac:dyDescent="0.25">
      <c r="A118" s="47"/>
      <c r="B118" s="55"/>
      <c r="C118" s="9"/>
      <c r="D118" s="136"/>
      <c r="E118" s="56"/>
      <c r="F118" s="57"/>
      <c r="G118" s="72">
        <v>46184</v>
      </c>
      <c r="H118" s="119">
        <v>22</v>
      </c>
      <c r="I118" s="119"/>
      <c r="J118" s="119">
        <v>5</v>
      </c>
      <c r="K118" s="5">
        <f t="shared" si="81"/>
        <v>66</v>
      </c>
      <c r="L118" s="5">
        <f t="shared" si="82"/>
        <v>44</v>
      </c>
      <c r="M118" s="5">
        <f t="shared" si="80"/>
        <v>44</v>
      </c>
      <c r="N118" s="5">
        <f t="shared" si="80"/>
        <v>44</v>
      </c>
      <c r="O118" s="5">
        <f t="shared" si="80"/>
        <v>44</v>
      </c>
      <c r="P118" s="6">
        <f t="shared" ref="P118:P119" si="85">IF(G118="","",SUM(K118:O118))</f>
        <v>242</v>
      </c>
      <c r="Q118" s="6">
        <f t="shared" ref="Q118:Q119" si="86">IF(P118="","",Q117+P118)</f>
        <v>1210</v>
      </c>
      <c r="R118" s="42" t="s">
        <v>23</v>
      </c>
    </row>
    <row r="119" spans="1:18" ht="15.95" customHeight="1" x14ac:dyDescent="0.25">
      <c r="A119" s="47"/>
      <c r="B119" s="55"/>
      <c r="C119" s="9"/>
      <c r="D119" s="136"/>
      <c r="E119" s="56"/>
      <c r="F119" s="57"/>
      <c r="G119" s="72">
        <v>46184</v>
      </c>
      <c r="H119" s="119">
        <v>22</v>
      </c>
      <c r="I119" s="119"/>
      <c r="J119" s="119">
        <v>6</v>
      </c>
      <c r="K119" s="5">
        <f t="shared" si="81"/>
        <v>66</v>
      </c>
      <c r="L119" s="5">
        <f t="shared" si="82"/>
        <v>44</v>
      </c>
      <c r="M119" s="5">
        <f t="shared" si="80"/>
        <v>44</v>
      </c>
      <c r="N119" s="5">
        <f t="shared" si="80"/>
        <v>44</v>
      </c>
      <c r="O119" s="5">
        <f t="shared" si="80"/>
        <v>44</v>
      </c>
      <c r="P119" s="6">
        <f t="shared" si="85"/>
        <v>242</v>
      </c>
      <c r="Q119" s="6">
        <f t="shared" si="86"/>
        <v>1452</v>
      </c>
      <c r="R119" s="42" t="s">
        <v>23</v>
      </c>
    </row>
    <row r="120" spans="1:18" ht="15.95" customHeight="1" x14ac:dyDescent="0.25">
      <c r="A120" s="47"/>
      <c r="B120" s="55"/>
      <c r="C120" s="9"/>
      <c r="D120" s="136"/>
      <c r="E120" s="56"/>
      <c r="F120" s="57"/>
      <c r="G120" s="72">
        <v>46184</v>
      </c>
      <c r="H120" s="119">
        <v>22</v>
      </c>
      <c r="I120" s="119"/>
      <c r="J120" s="119">
        <v>7</v>
      </c>
      <c r="K120" s="5">
        <f t="shared" si="81"/>
        <v>66</v>
      </c>
      <c r="L120" s="5">
        <f t="shared" si="82"/>
        <v>44</v>
      </c>
      <c r="M120" s="5">
        <f t="shared" si="80"/>
        <v>44</v>
      </c>
      <c r="N120" s="5">
        <f t="shared" si="80"/>
        <v>44</v>
      </c>
      <c r="O120" s="5">
        <f t="shared" si="80"/>
        <v>44</v>
      </c>
      <c r="P120" s="6">
        <f t="shared" ref="P120:P121" si="87">IF(G120="","",SUM(K120:O120))</f>
        <v>242</v>
      </c>
      <c r="Q120" s="6">
        <f t="shared" ref="Q120:Q121" si="88">IF(P120="","",Q119+P120)</f>
        <v>1694</v>
      </c>
      <c r="R120" s="42" t="s">
        <v>23</v>
      </c>
    </row>
    <row r="121" spans="1:18" ht="15.95" customHeight="1" x14ac:dyDescent="0.25">
      <c r="A121" s="47"/>
      <c r="B121" s="55"/>
      <c r="C121" s="9"/>
      <c r="D121" s="136"/>
      <c r="E121" s="56"/>
      <c r="F121" s="57"/>
      <c r="G121" s="72">
        <v>46184</v>
      </c>
      <c r="H121" s="119">
        <v>22</v>
      </c>
      <c r="I121" s="119"/>
      <c r="J121" s="119">
        <v>8</v>
      </c>
      <c r="K121" s="5">
        <f t="shared" si="81"/>
        <v>66</v>
      </c>
      <c r="L121" s="5">
        <f t="shared" si="82"/>
        <v>44</v>
      </c>
      <c r="M121" s="5">
        <f t="shared" si="80"/>
        <v>44</v>
      </c>
      <c r="N121" s="5">
        <f t="shared" si="80"/>
        <v>44</v>
      </c>
      <c r="O121" s="5">
        <f t="shared" si="80"/>
        <v>44</v>
      </c>
      <c r="P121" s="6">
        <f t="shared" si="87"/>
        <v>242</v>
      </c>
      <c r="Q121" s="6">
        <f t="shared" si="88"/>
        <v>1936</v>
      </c>
      <c r="R121" s="42" t="s">
        <v>23</v>
      </c>
    </row>
    <row r="122" spans="1:18" ht="15.95" customHeight="1" x14ac:dyDescent="0.25">
      <c r="A122" s="47"/>
      <c r="B122" s="55"/>
      <c r="C122" s="9"/>
      <c r="D122" s="136"/>
      <c r="E122" s="56"/>
      <c r="F122" s="57"/>
      <c r="G122" s="72">
        <v>46184</v>
      </c>
      <c r="H122" s="119">
        <v>22</v>
      </c>
      <c r="I122" s="119"/>
      <c r="J122" s="119">
        <v>9</v>
      </c>
      <c r="K122" s="5">
        <f t="shared" si="81"/>
        <v>66</v>
      </c>
      <c r="L122" s="5">
        <f t="shared" si="82"/>
        <v>44</v>
      </c>
      <c r="M122" s="5">
        <f t="shared" si="80"/>
        <v>44</v>
      </c>
      <c r="N122" s="5">
        <f t="shared" si="80"/>
        <v>44</v>
      </c>
      <c r="O122" s="5">
        <f t="shared" si="80"/>
        <v>44</v>
      </c>
      <c r="P122" s="6">
        <f t="shared" ref="P122:P126" si="89">IF(G122="","",SUM(K122:O122))</f>
        <v>242</v>
      </c>
      <c r="Q122" s="6">
        <f t="shared" ref="Q122:Q126" si="90">IF(P122="","",Q121+P122)</f>
        <v>2178</v>
      </c>
      <c r="R122" s="42" t="s">
        <v>23</v>
      </c>
    </row>
    <row r="123" spans="1:18" ht="15.95" customHeight="1" x14ac:dyDescent="0.25">
      <c r="A123" s="47"/>
      <c r="B123" s="55"/>
      <c r="C123" s="9"/>
      <c r="D123" s="136"/>
      <c r="E123" s="56"/>
      <c r="F123" s="57"/>
      <c r="G123" s="72">
        <v>46184</v>
      </c>
      <c r="H123" s="119">
        <v>22</v>
      </c>
      <c r="I123" s="119"/>
      <c r="J123" s="119">
        <v>10</v>
      </c>
      <c r="K123" s="5">
        <f t="shared" si="81"/>
        <v>66</v>
      </c>
      <c r="L123" s="5">
        <f t="shared" si="82"/>
        <v>44</v>
      </c>
      <c r="M123" s="5">
        <f t="shared" si="80"/>
        <v>44</v>
      </c>
      <c r="N123" s="5">
        <f t="shared" si="80"/>
        <v>44</v>
      </c>
      <c r="O123" s="5">
        <f t="shared" si="80"/>
        <v>44</v>
      </c>
      <c r="P123" s="6">
        <f t="shared" si="89"/>
        <v>242</v>
      </c>
      <c r="Q123" s="6">
        <f t="shared" si="90"/>
        <v>2420</v>
      </c>
      <c r="R123" s="42" t="s">
        <v>23</v>
      </c>
    </row>
    <row r="124" spans="1:18" ht="15.95" customHeight="1" x14ac:dyDescent="0.25">
      <c r="A124" s="47"/>
      <c r="B124" s="55"/>
      <c r="C124" s="9"/>
      <c r="D124" s="136"/>
      <c r="E124" s="56"/>
      <c r="F124" s="57"/>
      <c r="G124" s="72">
        <v>46184</v>
      </c>
      <c r="H124" s="119">
        <v>16</v>
      </c>
      <c r="I124" s="119"/>
      <c r="J124" s="119">
        <v>11</v>
      </c>
      <c r="K124" s="5">
        <v>48</v>
      </c>
      <c r="L124" s="5">
        <v>32</v>
      </c>
      <c r="M124" s="5">
        <v>32</v>
      </c>
      <c r="N124" s="5">
        <v>32</v>
      </c>
      <c r="O124" s="5">
        <v>32</v>
      </c>
      <c r="P124" s="6">
        <f t="shared" si="89"/>
        <v>176</v>
      </c>
      <c r="Q124" s="6">
        <f t="shared" si="90"/>
        <v>2596</v>
      </c>
      <c r="R124" s="42" t="s">
        <v>23</v>
      </c>
    </row>
    <row r="125" spans="1:18" ht="15.95" customHeight="1" x14ac:dyDescent="0.25">
      <c r="A125" s="47"/>
      <c r="B125" s="55"/>
      <c r="C125" s="9"/>
      <c r="D125" s="136"/>
      <c r="E125" s="56"/>
      <c r="F125" s="57"/>
      <c r="G125" s="72">
        <v>46186</v>
      </c>
      <c r="H125" s="119">
        <v>22</v>
      </c>
      <c r="I125" s="119"/>
      <c r="J125" s="119">
        <v>12</v>
      </c>
      <c r="K125" s="73">
        <f t="shared" ref="K125:K173" si="91">22*3</f>
        <v>66</v>
      </c>
      <c r="L125" s="73">
        <f t="shared" ref="L125:O153" si="92">22*2</f>
        <v>44</v>
      </c>
      <c r="M125" s="73">
        <f t="shared" si="92"/>
        <v>44</v>
      </c>
      <c r="N125" s="73">
        <f t="shared" si="92"/>
        <v>44</v>
      </c>
      <c r="O125" s="73">
        <f t="shared" si="92"/>
        <v>44</v>
      </c>
      <c r="P125" s="78">
        <f t="shared" si="89"/>
        <v>242</v>
      </c>
      <c r="Q125" s="78">
        <f t="shared" si="90"/>
        <v>2838</v>
      </c>
      <c r="R125" s="74" t="s">
        <v>23</v>
      </c>
    </row>
    <row r="126" spans="1:18" ht="15.95" customHeight="1" x14ac:dyDescent="0.25">
      <c r="A126" s="47"/>
      <c r="B126" s="55"/>
      <c r="C126" s="9"/>
      <c r="D126" s="136"/>
      <c r="E126" s="56"/>
      <c r="F126" s="57"/>
      <c r="G126" s="72">
        <v>46186</v>
      </c>
      <c r="H126" s="119">
        <v>22</v>
      </c>
      <c r="I126" s="119"/>
      <c r="J126" s="119">
        <v>13</v>
      </c>
      <c r="K126" s="73">
        <f t="shared" si="91"/>
        <v>66</v>
      </c>
      <c r="L126" s="73">
        <f t="shared" si="92"/>
        <v>44</v>
      </c>
      <c r="M126" s="73">
        <f t="shared" si="92"/>
        <v>44</v>
      </c>
      <c r="N126" s="73">
        <f t="shared" si="92"/>
        <v>44</v>
      </c>
      <c r="O126" s="73">
        <f t="shared" si="92"/>
        <v>44</v>
      </c>
      <c r="P126" s="78">
        <f t="shared" si="89"/>
        <v>242</v>
      </c>
      <c r="Q126" s="78">
        <f t="shared" si="90"/>
        <v>3080</v>
      </c>
      <c r="R126" s="74" t="s">
        <v>23</v>
      </c>
    </row>
    <row r="127" spans="1:18" ht="15.95" customHeight="1" x14ac:dyDescent="0.25">
      <c r="A127" s="47"/>
      <c r="B127" s="55"/>
      <c r="C127" s="9"/>
      <c r="D127" s="136"/>
      <c r="E127" s="56"/>
      <c r="F127" s="57"/>
      <c r="G127" s="72">
        <v>46186</v>
      </c>
      <c r="H127" s="119">
        <v>22</v>
      </c>
      <c r="I127" s="119"/>
      <c r="J127" s="119">
        <v>14</v>
      </c>
      <c r="K127" s="73">
        <f t="shared" si="91"/>
        <v>66</v>
      </c>
      <c r="L127" s="73">
        <f t="shared" si="92"/>
        <v>44</v>
      </c>
      <c r="M127" s="73">
        <f t="shared" si="92"/>
        <v>44</v>
      </c>
      <c r="N127" s="73">
        <f t="shared" si="92"/>
        <v>44</v>
      </c>
      <c r="O127" s="73">
        <f t="shared" si="92"/>
        <v>44</v>
      </c>
      <c r="P127" s="78">
        <f t="shared" ref="P127:P130" si="93">IF(G127="","",SUM(K127:O127))</f>
        <v>242</v>
      </c>
      <c r="Q127" s="78">
        <f t="shared" ref="Q127:Q130" si="94">IF(P127="","",Q126+P127)</f>
        <v>3322</v>
      </c>
      <c r="R127" s="74" t="s">
        <v>23</v>
      </c>
    </row>
    <row r="128" spans="1:18" ht="15.95" customHeight="1" x14ac:dyDescent="0.25">
      <c r="A128" s="47"/>
      <c r="B128" s="55"/>
      <c r="C128" s="9"/>
      <c r="D128" s="136"/>
      <c r="E128" s="56"/>
      <c r="F128" s="57"/>
      <c r="G128" s="72">
        <v>46186</v>
      </c>
      <c r="H128" s="119">
        <v>19</v>
      </c>
      <c r="I128" s="119"/>
      <c r="J128" s="119">
        <v>15</v>
      </c>
      <c r="K128" s="73">
        <v>57</v>
      </c>
      <c r="L128" s="73">
        <v>38</v>
      </c>
      <c r="M128" s="73">
        <v>38</v>
      </c>
      <c r="N128" s="73">
        <v>38</v>
      </c>
      <c r="O128" s="73">
        <v>38</v>
      </c>
      <c r="P128" s="78">
        <f t="shared" si="93"/>
        <v>209</v>
      </c>
      <c r="Q128" s="78">
        <f t="shared" si="94"/>
        <v>3531</v>
      </c>
      <c r="R128" s="74" t="s">
        <v>23</v>
      </c>
    </row>
    <row r="129" spans="1:18" ht="15.95" customHeight="1" x14ac:dyDescent="0.25">
      <c r="A129" s="47"/>
      <c r="B129" s="55"/>
      <c r="C129" s="9"/>
      <c r="D129" s="136"/>
      <c r="E129" s="56"/>
      <c r="F129" s="57"/>
      <c r="G129" s="72">
        <v>46186</v>
      </c>
      <c r="H129" s="119">
        <v>22</v>
      </c>
      <c r="I129" s="119"/>
      <c r="J129" s="119">
        <v>16</v>
      </c>
      <c r="K129" s="73">
        <f t="shared" si="91"/>
        <v>66</v>
      </c>
      <c r="L129" s="73">
        <f t="shared" si="92"/>
        <v>44</v>
      </c>
      <c r="M129" s="73">
        <f t="shared" si="92"/>
        <v>44</v>
      </c>
      <c r="N129" s="73">
        <f t="shared" si="92"/>
        <v>44</v>
      </c>
      <c r="O129" s="73">
        <f t="shared" si="92"/>
        <v>44</v>
      </c>
      <c r="P129" s="78">
        <f t="shared" si="93"/>
        <v>242</v>
      </c>
      <c r="Q129" s="78">
        <f t="shared" si="94"/>
        <v>3773</v>
      </c>
      <c r="R129" s="74" t="s">
        <v>23</v>
      </c>
    </row>
    <row r="130" spans="1:18" ht="15.95" customHeight="1" x14ac:dyDescent="0.25">
      <c r="A130" s="47"/>
      <c r="B130" s="55"/>
      <c r="C130" s="9"/>
      <c r="D130" s="136"/>
      <c r="E130" s="56"/>
      <c r="F130" s="57"/>
      <c r="G130" s="72">
        <v>46186</v>
      </c>
      <c r="H130" s="119">
        <v>22</v>
      </c>
      <c r="I130" s="119"/>
      <c r="J130" s="119">
        <v>17</v>
      </c>
      <c r="K130" s="73">
        <f t="shared" si="91"/>
        <v>66</v>
      </c>
      <c r="L130" s="73">
        <f t="shared" si="92"/>
        <v>44</v>
      </c>
      <c r="M130" s="73">
        <f t="shared" si="92"/>
        <v>44</v>
      </c>
      <c r="N130" s="73">
        <f t="shared" si="92"/>
        <v>44</v>
      </c>
      <c r="O130" s="73">
        <f t="shared" si="92"/>
        <v>44</v>
      </c>
      <c r="P130" s="78">
        <f t="shared" si="93"/>
        <v>242</v>
      </c>
      <c r="Q130" s="78">
        <f t="shared" si="94"/>
        <v>4015</v>
      </c>
      <c r="R130" s="74" t="s">
        <v>23</v>
      </c>
    </row>
    <row r="131" spans="1:18" ht="15.95" customHeight="1" x14ac:dyDescent="0.25">
      <c r="A131" s="47"/>
      <c r="B131" s="55"/>
      <c r="C131" s="9"/>
      <c r="D131" s="136"/>
      <c r="E131" s="56"/>
      <c r="F131" s="57"/>
      <c r="G131" s="72">
        <v>46187</v>
      </c>
      <c r="H131" s="119">
        <v>22</v>
      </c>
      <c r="I131" s="119"/>
      <c r="J131" s="119">
        <v>18</v>
      </c>
      <c r="K131" s="73">
        <f t="shared" si="91"/>
        <v>66</v>
      </c>
      <c r="L131" s="73">
        <f t="shared" si="92"/>
        <v>44</v>
      </c>
      <c r="M131" s="73">
        <f t="shared" si="92"/>
        <v>44</v>
      </c>
      <c r="N131" s="73">
        <f t="shared" si="92"/>
        <v>44</v>
      </c>
      <c r="O131" s="73">
        <f t="shared" si="92"/>
        <v>44</v>
      </c>
      <c r="P131" s="78">
        <f t="shared" ref="P131:P135" si="95">IF(G131="","",SUM(K131:O131))</f>
        <v>242</v>
      </c>
      <c r="Q131" s="78">
        <f t="shared" ref="Q131:Q135" si="96">IF(P131="","",Q130+P131)</f>
        <v>4257</v>
      </c>
      <c r="R131" s="74" t="s">
        <v>23</v>
      </c>
    </row>
    <row r="132" spans="1:18" ht="15.95" customHeight="1" x14ac:dyDescent="0.25">
      <c r="A132" s="47"/>
      <c r="B132" s="55"/>
      <c r="C132" s="9"/>
      <c r="D132" s="136"/>
      <c r="E132" s="56"/>
      <c r="F132" s="57"/>
      <c r="G132" s="72">
        <v>46187</v>
      </c>
      <c r="H132" s="119">
        <v>23</v>
      </c>
      <c r="I132" s="119"/>
      <c r="J132" s="119">
        <v>19</v>
      </c>
      <c r="K132" s="73">
        <f>23*3</f>
        <v>69</v>
      </c>
      <c r="L132" s="73">
        <v>46</v>
      </c>
      <c r="M132" s="73">
        <v>46</v>
      </c>
      <c r="N132" s="73">
        <v>46</v>
      </c>
      <c r="O132" s="73">
        <v>46</v>
      </c>
      <c r="P132" s="78">
        <f t="shared" si="95"/>
        <v>253</v>
      </c>
      <c r="Q132" s="78">
        <f t="shared" si="96"/>
        <v>4510</v>
      </c>
      <c r="R132" s="74" t="s">
        <v>23</v>
      </c>
    </row>
    <row r="133" spans="1:18" ht="15.95" customHeight="1" x14ac:dyDescent="0.25">
      <c r="A133" s="47"/>
      <c r="B133" s="55"/>
      <c r="C133" s="9"/>
      <c r="D133" s="136"/>
      <c r="E133" s="56"/>
      <c r="F133" s="57"/>
      <c r="G133" s="118">
        <v>46187</v>
      </c>
      <c r="H133" s="119">
        <v>24</v>
      </c>
      <c r="I133" s="119"/>
      <c r="J133" s="119">
        <v>20</v>
      </c>
      <c r="K133" s="119">
        <f>24*3</f>
        <v>72</v>
      </c>
      <c r="L133" s="119">
        <v>48</v>
      </c>
      <c r="M133" s="119">
        <v>48</v>
      </c>
      <c r="N133" s="119">
        <v>48</v>
      </c>
      <c r="O133" s="119">
        <v>48</v>
      </c>
      <c r="P133" s="120">
        <f t="shared" si="95"/>
        <v>264</v>
      </c>
      <c r="Q133" s="120">
        <f t="shared" si="96"/>
        <v>4774</v>
      </c>
      <c r="R133" s="121" t="s">
        <v>23</v>
      </c>
    </row>
    <row r="134" spans="1:18" ht="15.95" customHeight="1" x14ac:dyDescent="0.25">
      <c r="A134" s="47"/>
      <c r="B134" s="55"/>
      <c r="C134" s="9"/>
      <c r="D134" s="136"/>
      <c r="E134" s="56"/>
      <c r="F134" s="57"/>
      <c r="G134" s="72">
        <v>46187</v>
      </c>
      <c r="H134" s="73">
        <v>22</v>
      </c>
      <c r="I134" s="73"/>
      <c r="J134" s="73">
        <v>21</v>
      </c>
      <c r="K134" s="73">
        <f t="shared" si="91"/>
        <v>66</v>
      </c>
      <c r="L134" s="73">
        <f t="shared" si="92"/>
        <v>44</v>
      </c>
      <c r="M134" s="73">
        <f t="shared" si="92"/>
        <v>44</v>
      </c>
      <c r="N134" s="73">
        <f t="shared" si="92"/>
        <v>44</v>
      </c>
      <c r="O134" s="73">
        <f t="shared" si="92"/>
        <v>44</v>
      </c>
      <c r="P134" s="78">
        <f t="shared" si="95"/>
        <v>242</v>
      </c>
      <c r="Q134" s="78">
        <f t="shared" si="96"/>
        <v>5016</v>
      </c>
      <c r="R134" s="74" t="s">
        <v>23</v>
      </c>
    </row>
    <row r="135" spans="1:18" ht="15.95" customHeight="1" x14ac:dyDescent="0.25">
      <c r="A135" s="47"/>
      <c r="B135" s="55"/>
      <c r="C135" s="9"/>
      <c r="D135" s="136"/>
      <c r="E135" s="56"/>
      <c r="F135" s="57"/>
      <c r="G135" s="72">
        <v>46187</v>
      </c>
      <c r="H135" s="73">
        <v>22</v>
      </c>
      <c r="I135" s="73"/>
      <c r="J135" s="73">
        <v>22</v>
      </c>
      <c r="K135" s="73">
        <f t="shared" si="91"/>
        <v>66</v>
      </c>
      <c r="L135" s="73">
        <f t="shared" si="92"/>
        <v>44</v>
      </c>
      <c r="M135" s="73">
        <f t="shared" si="92"/>
        <v>44</v>
      </c>
      <c r="N135" s="73">
        <f t="shared" si="92"/>
        <v>44</v>
      </c>
      <c r="O135" s="73">
        <f t="shared" si="92"/>
        <v>44</v>
      </c>
      <c r="P135" s="78">
        <f t="shared" si="95"/>
        <v>242</v>
      </c>
      <c r="Q135" s="78">
        <f t="shared" si="96"/>
        <v>5258</v>
      </c>
      <c r="R135" s="74" t="s">
        <v>23</v>
      </c>
    </row>
    <row r="136" spans="1:18" ht="15.95" customHeight="1" x14ac:dyDescent="0.25">
      <c r="A136" s="47"/>
      <c r="B136" s="55"/>
      <c r="C136" s="9"/>
      <c r="D136" s="136"/>
      <c r="E136" s="56"/>
      <c r="F136" s="57"/>
      <c r="G136" s="72">
        <v>46187</v>
      </c>
      <c r="H136" s="73">
        <v>22</v>
      </c>
      <c r="I136" s="73"/>
      <c r="J136" s="73">
        <v>23</v>
      </c>
      <c r="K136" s="73">
        <f t="shared" si="91"/>
        <v>66</v>
      </c>
      <c r="L136" s="73">
        <f t="shared" si="92"/>
        <v>44</v>
      </c>
      <c r="M136" s="73">
        <f t="shared" si="92"/>
        <v>44</v>
      </c>
      <c r="N136" s="73">
        <f t="shared" si="92"/>
        <v>44</v>
      </c>
      <c r="O136" s="73">
        <f t="shared" si="92"/>
        <v>44</v>
      </c>
      <c r="P136" s="78">
        <f t="shared" ref="P136:P137" si="97">IF(G136="","",SUM(K136:O136))</f>
        <v>242</v>
      </c>
      <c r="Q136" s="78">
        <f t="shared" ref="Q136:Q137" si="98">IF(P136="","",Q135+P136)</f>
        <v>5500</v>
      </c>
      <c r="R136" s="74" t="s">
        <v>23</v>
      </c>
    </row>
    <row r="137" spans="1:18" ht="15.95" customHeight="1" x14ac:dyDescent="0.25">
      <c r="A137" s="47"/>
      <c r="B137" s="55"/>
      <c r="C137" s="9"/>
      <c r="D137" s="136"/>
      <c r="E137" s="56"/>
      <c r="F137" s="57"/>
      <c r="G137" s="72">
        <v>46187</v>
      </c>
      <c r="H137" s="73">
        <v>22</v>
      </c>
      <c r="I137" s="73"/>
      <c r="J137" s="73">
        <v>24</v>
      </c>
      <c r="K137" s="73">
        <f t="shared" si="91"/>
        <v>66</v>
      </c>
      <c r="L137" s="73">
        <f t="shared" si="92"/>
        <v>44</v>
      </c>
      <c r="M137" s="73">
        <f t="shared" si="92"/>
        <v>44</v>
      </c>
      <c r="N137" s="73">
        <f t="shared" si="92"/>
        <v>44</v>
      </c>
      <c r="O137" s="73">
        <f t="shared" si="92"/>
        <v>44</v>
      </c>
      <c r="P137" s="78">
        <f t="shared" si="97"/>
        <v>242</v>
      </c>
      <c r="Q137" s="78">
        <f t="shared" si="98"/>
        <v>5742</v>
      </c>
      <c r="R137" s="74" t="s">
        <v>23</v>
      </c>
    </row>
    <row r="138" spans="1:18" ht="15.95" customHeight="1" x14ac:dyDescent="0.25">
      <c r="A138" s="47"/>
      <c r="B138" s="55"/>
      <c r="C138" s="9"/>
      <c r="D138" s="136"/>
      <c r="E138" s="56"/>
      <c r="F138" s="57"/>
      <c r="G138" s="72">
        <v>46187</v>
      </c>
      <c r="H138" s="73">
        <v>22</v>
      </c>
      <c r="I138" s="73"/>
      <c r="J138" s="73">
        <v>25</v>
      </c>
      <c r="K138" s="73">
        <f t="shared" si="91"/>
        <v>66</v>
      </c>
      <c r="L138" s="73">
        <f t="shared" si="92"/>
        <v>44</v>
      </c>
      <c r="M138" s="73">
        <f t="shared" si="92"/>
        <v>44</v>
      </c>
      <c r="N138" s="73">
        <f t="shared" si="92"/>
        <v>44</v>
      </c>
      <c r="O138" s="73">
        <f t="shared" si="92"/>
        <v>44</v>
      </c>
      <c r="P138" s="78">
        <f t="shared" ref="P138:P139" si="99">IF(G138="","",SUM(K138:O138))</f>
        <v>242</v>
      </c>
      <c r="Q138" s="78">
        <f t="shared" ref="Q138:Q139" si="100">IF(P138="","",Q137+P138)</f>
        <v>5984</v>
      </c>
      <c r="R138" s="74" t="s">
        <v>23</v>
      </c>
    </row>
    <row r="139" spans="1:18" ht="15.95" customHeight="1" x14ac:dyDescent="0.25">
      <c r="A139" s="47"/>
      <c r="B139" s="55"/>
      <c r="C139" s="9"/>
      <c r="D139" s="136"/>
      <c r="E139" s="56"/>
      <c r="F139" s="57"/>
      <c r="G139" s="72">
        <v>46188</v>
      </c>
      <c r="H139" s="73">
        <v>22</v>
      </c>
      <c r="I139" s="73"/>
      <c r="J139" s="73">
        <v>26</v>
      </c>
      <c r="K139" s="73">
        <f t="shared" si="91"/>
        <v>66</v>
      </c>
      <c r="L139" s="73">
        <f t="shared" si="92"/>
        <v>44</v>
      </c>
      <c r="M139" s="73">
        <f t="shared" si="92"/>
        <v>44</v>
      </c>
      <c r="N139" s="73">
        <f t="shared" si="92"/>
        <v>44</v>
      </c>
      <c r="O139" s="73">
        <f t="shared" si="92"/>
        <v>44</v>
      </c>
      <c r="P139" s="78">
        <f t="shared" si="99"/>
        <v>242</v>
      </c>
      <c r="Q139" s="78">
        <f t="shared" si="100"/>
        <v>6226</v>
      </c>
      <c r="R139" s="74" t="s">
        <v>23</v>
      </c>
    </row>
    <row r="140" spans="1:18" ht="15.95" customHeight="1" x14ac:dyDescent="0.25">
      <c r="A140" s="47"/>
      <c r="B140" s="55"/>
      <c r="C140" s="9"/>
      <c r="D140" s="136"/>
      <c r="E140" s="56"/>
      <c r="F140" s="57"/>
      <c r="G140" s="72">
        <v>46188</v>
      </c>
      <c r="H140" s="73">
        <v>22</v>
      </c>
      <c r="I140" s="73"/>
      <c r="J140" s="73">
        <v>27</v>
      </c>
      <c r="K140" s="73">
        <f t="shared" si="91"/>
        <v>66</v>
      </c>
      <c r="L140" s="73">
        <f t="shared" si="92"/>
        <v>44</v>
      </c>
      <c r="M140" s="73">
        <f t="shared" si="92"/>
        <v>44</v>
      </c>
      <c r="N140" s="73">
        <f t="shared" si="92"/>
        <v>44</v>
      </c>
      <c r="O140" s="73">
        <f t="shared" si="92"/>
        <v>44</v>
      </c>
      <c r="P140" s="78">
        <f t="shared" ref="P140:P141" si="101">IF(G140="","",SUM(K140:O140))</f>
        <v>242</v>
      </c>
      <c r="Q140" s="78">
        <f t="shared" ref="Q140:Q141" si="102">IF(P140="","",Q139+P140)</f>
        <v>6468</v>
      </c>
      <c r="R140" s="74" t="s">
        <v>23</v>
      </c>
    </row>
    <row r="141" spans="1:18" ht="15.95" customHeight="1" x14ac:dyDescent="0.25">
      <c r="A141" s="47"/>
      <c r="B141" s="55"/>
      <c r="C141" s="9"/>
      <c r="D141" s="136"/>
      <c r="E141" s="56"/>
      <c r="F141" s="57"/>
      <c r="G141" s="72">
        <v>46188</v>
      </c>
      <c r="H141" s="73">
        <v>22</v>
      </c>
      <c r="I141" s="73"/>
      <c r="J141" s="73">
        <v>28</v>
      </c>
      <c r="K141" s="73">
        <f t="shared" si="91"/>
        <v>66</v>
      </c>
      <c r="L141" s="73">
        <f t="shared" si="92"/>
        <v>44</v>
      </c>
      <c r="M141" s="73">
        <f t="shared" si="92"/>
        <v>44</v>
      </c>
      <c r="N141" s="73">
        <f t="shared" si="92"/>
        <v>44</v>
      </c>
      <c r="O141" s="73">
        <f t="shared" si="92"/>
        <v>44</v>
      </c>
      <c r="P141" s="78">
        <f t="shared" si="101"/>
        <v>242</v>
      </c>
      <c r="Q141" s="78">
        <f t="shared" si="102"/>
        <v>6710</v>
      </c>
      <c r="R141" s="74" t="s">
        <v>23</v>
      </c>
    </row>
    <row r="142" spans="1:18" ht="15.95" customHeight="1" x14ac:dyDescent="0.25">
      <c r="A142" s="47"/>
      <c r="B142" s="55"/>
      <c r="C142" s="9"/>
      <c r="D142" s="136"/>
      <c r="E142" s="56"/>
      <c r="F142" s="57"/>
      <c r="G142" s="72">
        <v>46188</v>
      </c>
      <c r="H142" s="73">
        <v>22</v>
      </c>
      <c r="I142" s="73"/>
      <c r="J142" s="73">
        <v>29</v>
      </c>
      <c r="K142" s="73">
        <f t="shared" si="91"/>
        <v>66</v>
      </c>
      <c r="L142" s="73">
        <f t="shared" ref="L142:O163" si="103">22*2</f>
        <v>44</v>
      </c>
      <c r="M142" s="73">
        <f t="shared" si="103"/>
        <v>44</v>
      </c>
      <c r="N142" s="73">
        <f t="shared" si="103"/>
        <v>44</v>
      </c>
      <c r="O142" s="73">
        <f t="shared" si="103"/>
        <v>44</v>
      </c>
      <c r="P142" s="78">
        <f t="shared" ref="P142:P143" si="104">IF(G142="","",SUM(K142:O142))</f>
        <v>242</v>
      </c>
      <c r="Q142" s="78">
        <f t="shared" ref="Q142:Q143" si="105">IF(P142="","",Q141+P142)</f>
        <v>6952</v>
      </c>
      <c r="R142" s="74" t="s">
        <v>23</v>
      </c>
    </row>
    <row r="143" spans="1:18" ht="15.95" customHeight="1" x14ac:dyDescent="0.25">
      <c r="A143" s="47"/>
      <c r="B143" s="55"/>
      <c r="C143" s="9"/>
      <c r="D143" s="136"/>
      <c r="E143" s="56"/>
      <c r="F143" s="57"/>
      <c r="G143" s="72">
        <v>46188</v>
      </c>
      <c r="H143" s="73">
        <v>22</v>
      </c>
      <c r="I143" s="73"/>
      <c r="J143" s="73">
        <v>30</v>
      </c>
      <c r="K143" s="73">
        <f t="shared" si="91"/>
        <v>66</v>
      </c>
      <c r="L143" s="73">
        <f t="shared" si="92"/>
        <v>44</v>
      </c>
      <c r="M143" s="73">
        <f t="shared" si="92"/>
        <v>44</v>
      </c>
      <c r="N143" s="73">
        <f t="shared" si="92"/>
        <v>44</v>
      </c>
      <c r="O143" s="73">
        <f t="shared" si="92"/>
        <v>44</v>
      </c>
      <c r="P143" s="78">
        <f t="shared" si="104"/>
        <v>242</v>
      </c>
      <c r="Q143" s="78">
        <f t="shared" si="105"/>
        <v>7194</v>
      </c>
      <c r="R143" s="74" t="s">
        <v>23</v>
      </c>
    </row>
    <row r="144" spans="1:18" ht="15.95" customHeight="1" x14ac:dyDescent="0.25">
      <c r="A144" s="47"/>
      <c r="B144" s="55"/>
      <c r="C144" s="9"/>
      <c r="D144" s="136"/>
      <c r="E144" s="56"/>
      <c r="F144" s="57"/>
      <c r="G144" s="72">
        <v>46188</v>
      </c>
      <c r="H144" s="73">
        <v>22</v>
      </c>
      <c r="I144" s="73"/>
      <c r="J144" s="73">
        <v>31</v>
      </c>
      <c r="K144" s="73">
        <f t="shared" si="91"/>
        <v>66</v>
      </c>
      <c r="L144" s="73">
        <f t="shared" si="103"/>
        <v>44</v>
      </c>
      <c r="M144" s="73">
        <f t="shared" si="103"/>
        <v>44</v>
      </c>
      <c r="N144" s="73">
        <f t="shared" si="103"/>
        <v>44</v>
      </c>
      <c r="O144" s="73">
        <f t="shared" si="103"/>
        <v>44</v>
      </c>
      <c r="P144" s="78">
        <f t="shared" ref="P144:P145" si="106">IF(G144="","",SUM(K144:O144))</f>
        <v>242</v>
      </c>
      <c r="Q144" s="78">
        <f t="shared" ref="Q144:Q145" si="107">IF(P144="","",Q143+P144)</f>
        <v>7436</v>
      </c>
      <c r="R144" s="74" t="s">
        <v>23</v>
      </c>
    </row>
    <row r="145" spans="1:18" ht="15.95" customHeight="1" x14ac:dyDescent="0.25">
      <c r="A145" s="47"/>
      <c r="B145" s="55"/>
      <c r="C145" s="9"/>
      <c r="D145" s="136"/>
      <c r="E145" s="56"/>
      <c r="F145" s="57"/>
      <c r="G145" s="72">
        <v>46188</v>
      </c>
      <c r="H145" s="73">
        <v>22</v>
      </c>
      <c r="I145" s="73"/>
      <c r="J145" s="73">
        <v>32</v>
      </c>
      <c r="K145" s="73">
        <f t="shared" si="91"/>
        <v>66</v>
      </c>
      <c r="L145" s="73">
        <f t="shared" si="92"/>
        <v>44</v>
      </c>
      <c r="M145" s="73">
        <f t="shared" si="92"/>
        <v>44</v>
      </c>
      <c r="N145" s="73">
        <f t="shared" si="92"/>
        <v>44</v>
      </c>
      <c r="O145" s="73">
        <f t="shared" si="92"/>
        <v>44</v>
      </c>
      <c r="P145" s="78">
        <f t="shared" si="106"/>
        <v>242</v>
      </c>
      <c r="Q145" s="78">
        <f t="shared" si="107"/>
        <v>7678</v>
      </c>
      <c r="R145" s="74" t="s">
        <v>23</v>
      </c>
    </row>
    <row r="146" spans="1:18" ht="15.95" customHeight="1" x14ac:dyDescent="0.25">
      <c r="A146" s="47"/>
      <c r="B146" s="55"/>
      <c r="C146" s="9"/>
      <c r="D146" s="136"/>
      <c r="E146" s="56" t="s">
        <v>49</v>
      </c>
      <c r="F146" s="57"/>
      <c r="G146" s="72">
        <v>46188</v>
      </c>
      <c r="H146" s="73">
        <v>22</v>
      </c>
      <c r="I146" s="73"/>
      <c r="J146" s="73">
        <v>33</v>
      </c>
      <c r="K146" s="73">
        <f t="shared" si="91"/>
        <v>66</v>
      </c>
      <c r="L146" s="73">
        <f t="shared" si="103"/>
        <v>44</v>
      </c>
      <c r="M146" s="73">
        <f t="shared" si="103"/>
        <v>44</v>
      </c>
      <c r="N146" s="73">
        <f t="shared" si="103"/>
        <v>44</v>
      </c>
      <c r="O146" s="73">
        <f t="shared" si="103"/>
        <v>44</v>
      </c>
      <c r="P146" s="78">
        <f t="shared" ref="P146:P147" si="108">IF(G146="","",SUM(K146:O146))</f>
        <v>242</v>
      </c>
      <c r="Q146" s="78">
        <f t="shared" ref="Q146:Q147" si="109">IF(P146="","",Q145+P146)</f>
        <v>7920</v>
      </c>
      <c r="R146" s="74" t="s">
        <v>23</v>
      </c>
    </row>
    <row r="147" spans="1:18" ht="15.95" customHeight="1" x14ac:dyDescent="0.25">
      <c r="A147" s="47"/>
      <c r="B147" s="55"/>
      <c r="C147" s="9"/>
      <c r="D147" s="136"/>
      <c r="E147" s="56"/>
      <c r="F147" s="57"/>
      <c r="G147" s="72">
        <v>46188</v>
      </c>
      <c r="H147" s="73">
        <v>22</v>
      </c>
      <c r="I147" s="73"/>
      <c r="J147" s="73">
        <v>34</v>
      </c>
      <c r="K147" s="73">
        <f t="shared" si="91"/>
        <v>66</v>
      </c>
      <c r="L147" s="73">
        <f t="shared" si="92"/>
        <v>44</v>
      </c>
      <c r="M147" s="73">
        <f t="shared" si="92"/>
        <v>44</v>
      </c>
      <c r="N147" s="73">
        <f t="shared" si="92"/>
        <v>44</v>
      </c>
      <c r="O147" s="73">
        <f t="shared" si="92"/>
        <v>44</v>
      </c>
      <c r="P147" s="78">
        <f t="shared" si="108"/>
        <v>242</v>
      </c>
      <c r="Q147" s="78">
        <f t="shared" si="109"/>
        <v>8162</v>
      </c>
      <c r="R147" s="74" t="s">
        <v>23</v>
      </c>
    </row>
    <row r="148" spans="1:18" ht="15.95" customHeight="1" x14ac:dyDescent="0.25">
      <c r="A148" s="47"/>
      <c r="B148" s="55"/>
      <c r="C148" s="9"/>
      <c r="D148" s="136"/>
      <c r="E148" s="56"/>
      <c r="F148" s="57"/>
      <c r="G148" s="72">
        <v>46189</v>
      </c>
      <c r="H148" s="73">
        <v>22</v>
      </c>
      <c r="I148" s="73"/>
      <c r="J148" s="73">
        <v>35</v>
      </c>
      <c r="K148" s="73">
        <f t="shared" si="91"/>
        <v>66</v>
      </c>
      <c r="L148" s="73">
        <f t="shared" si="103"/>
        <v>44</v>
      </c>
      <c r="M148" s="73">
        <f t="shared" si="103"/>
        <v>44</v>
      </c>
      <c r="N148" s="73">
        <f t="shared" si="103"/>
        <v>44</v>
      </c>
      <c r="O148" s="73">
        <f t="shared" si="103"/>
        <v>44</v>
      </c>
      <c r="P148" s="78">
        <f t="shared" ref="P148:P149" si="110">IF(G148="","",SUM(K148:O148))</f>
        <v>242</v>
      </c>
      <c r="Q148" s="78">
        <f t="shared" ref="Q148:Q149" si="111">IF(P148="","",Q147+P148)</f>
        <v>8404</v>
      </c>
      <c r="R148" s="74" t="s">
        <v>23</v>
      </c>
    </row>
    <row r="149" spans="1:18" ht="15.95" customHeight="1" x14ac:dyDescent="0.25">
      <c r="A149" s="47"/>
      <c r="B149" s="55"/>
      <c r="C149" s="9"/>
      <c r="D149" s="136"/>
      <c r="E149" s="56"/>
      <c r="F149" s="57"/>
      <c r="G149" s="72">
        <v>46189</v>
      </c>
      <c r="H149" s="73">
        <v>22</v>
      </c>
      <c r="I149" s="73"/>
      <c r="J149" s="73">
        <v>36</v>
      </c>
      <c r="K149" s="73">
        <f t="shared" si="91"/>
        <v>66</v>
      </c>
      <c r="L149" s="73">
        <f t="shared" si="92"/>
        <v>44</v>
      </c>
      <c r="M149" s="73">
        <f t="shared" si="92"/>
        <v>44</v>
      </c>
      <c r="N149" s="73">
        <f t="shared" si="92"/>
        <v>44</v>
      </c>
      <c r="O149" s="73">
        <f t="shared" si="92"/>
        <v>44</v>
      </c>
      <c r="P149" s="78">
        <f t="shared" si="110"/>
        <v>242</v>
      </c>
      <c r="Q149" s="78">
        <f t="shared" si="111"/>
        <v>8646</v>
      </c>
      <c r="R149" s="74" t="s">
        <v>23</v>
      </c>
    </row>
    <row r="150" spans="1:18" ht="15.95" customHeight="1" x14ac:dyDescent="0.25">
      <c r="A150" s="47"/>
      <c r="B150" s="55"/>
      <c r="C150" s="9"/>
      <c r="D150" s="136"/>
      <c r="E150" s="56"/>
      <c r="F150" s="57"/>
      <c r="G150" s="72">
        <v>46189</v>
      </c>
      <c r="H150" s="73">
        <v>22</v>
      </c>
      <c r="I150" s="73"/>
      <c r="J150" s="73">
        <v>37</v>
      </c>
      <c r="K150" s="73">
        <f t="shared" si="91"/>
        <v>66</v>
      </c>
      <c r="L150" s="73">
        <f t="shared" si="103"/>
        <v>44</v>
      </c>
      <c r="M150" s="73">
        <f t="shared" si="103"/>
        <v>44</v>
      </c>
      <c r="N150" s="73">
        <f t="shared" si="103"/>
        <v>44</v>
      </c>
      <c r="O150" s="73">
        <f t="shared" si="103"/>
        <v>44</v>
      </c>
      <c r="P150" s="78">
        <f t="shared" ref="P150:P152" si="112">IF(G150="","",SUM(K150:O150))</f>
        <v>242</v>
      </c>
      <c r="Q150" s="78">
        <f t="shared" ref="Q150:Q152" si="113">IF(P150="","",Q149+P150)</f>
        <v>8888</v>
      </c>
      <c r="R150" s="74" t="s">
        <v>23</v>
      </c>
    </row>
    <row r="151" spans="1:18" ht="15.95" customHeight="1" x14ac:dyDescent="0.25">
      <c r="A151" s="47"/>
      <c r="B151" s="55"/>
      <c r="C151" s="9"/>
      <c r="D151" s="136"/>
      <c r="E151" s="56"/>
      <c r="F151" s="57"/>
      <c r="G151" s="72">
        <v>46189</v>
      </c>
      <c r="H151" s="73">
        <v>22</v>
      </c>
      <c r="I151" s="73"/>
      <c r="J151" s="73">
        <v>38</v>
      </c>
      <c r="K151" s="73">
        <f t="shared" si="91"/>
        <v>66</v>
      </c>
      <c r="L151" s="73">
        <f t="shared" si="92"/>
        <v>44</v>
      </c>
      <c r="M151" s="73">
        <f t="shared" si="92"/>
        <v>44</v>
      </c>
      <c r="N151" s="73">
        <f t="shared" si="92"/>
        <v>44</v>
      </c>
      <c r="O151" s="73">
        <f t="shared" si="92"/>
        <v>44</v>
      </c>
      <c r="P151" s="78">
        <f t="shared" si="112"/>
        <v>242</v>
      </c>
      <c r="Q151" s="78">
        <f t="shared" si="113"/>
        <v>9130</v>
      </c>
      <c r="R151" s="74" t="s">
        <v>23</v>
      </c>
    </row>
    <row r="152" spans="1:18" ht="15.95" customHeight="1" x14ac:dyDescent="0.25">
      <c r="A152" s="47"/>
      <c r="B152" s="55"/>
      <c r="C152" s="9"/>
      <c r="D152" s="136"/>
      <c r="E152" s="56"/>
      <c r="F152" s="57"/>
      <c r="G152" s="72">
        <v>46189</v>
      </c>
      <c r="H152" s="73">
        <v>22</v>
      </c>
      <c r="I152" s="73"/>
      <c r="J152" s="73">
        <v>39</v>
      </c>
      <c r="K152" s="73">
        <f t="shared" si="91"/>
        <v>66</v>
      </c>
      <c r="L152" s="73">
        <f t="shared" si="103"/>
        <v>44</v>
      </c>
      <c r="M152" s="73">
        <f t="shared" si="103"/>
        <v>44</v>
      </c>
      <c r="N152" s="73">
        <f t="shared" si="103"/>
        <v>44</v>
      </c>
      <c r="O152" s="73">
        <f t="shared" si="103"/>
        <v>44</v>
      </c>
      <c r="P152" s="78">
        <f t="shared" si="112"/>
        <v>242</v>
      </c>
      <c r="Q152" s="78">
        <f t="shared" si="113"/>
        <v>9372</v>
      </c>
      <c r="R152" s="74" t="s">
        <v>23</v>
      </c>
    </row>
    <row r="153" spans="1:18" ht="15.95" customHeight="1" x14ac:dyDescent="0.25">
      <c r="A153" s="47"/>
      <c r="B153" s="55"/>
      <c r="C153" s="9"/>
      <c r="D153" s="136"/>
      <c r="E153" s="56"/>
      <c r="F153" s="57"/>
      <c r="G153" s="72">
        <v>46190</v>
      </c>
      <c r="H153" s="73">
        <v>22</v>
      </c>
      <c r="I153" s="73"/>
      <c r="J153" s="73">
        <v>40</v>
      </c>
      <c r="K153" s="73">
        <f t="shared" si="91"/>
        <v>66</v>
      </c>
      <c r="L153" s="73">
        <f t="shared" si="92"/>
        <v>44</v>
      </c>
      <c r="M153" s="73">
        <f t="shared" si="92"/>
        <v>44</v>
      </c>
      <c r="N153" s="73">
        <f t="shared" si="92"/>
        <v>44</v>
      </c>
      <c r="O153" s="73">
        <f t="shared" si="92"/>
        <v>44</v>
      </c>
      <c r="P153" s="78">
        <f t="shared" ref="P153:P156" si="114">IF(G153="","",SUM(K153:O153))</f>
        <v>242</v>
      </c>
      <c r="Q153" s="78">
        <f t="shared" ref="Q153:Q156" si="115">IF(P153="","",Q152+P153)</f>
        <v>9614</v>
      </c>
      <c r="R153" s="74" t="s">
        <v>23</v>
      </c>
    </row>
    <row r="154" spans="1:18" ht="15.95" customHeight="1" x14ac:dyDescent="0.25">
      <c r="A154" s="47"/>
      <c r="B154" s="55"/>
      <c r="C154" s="9"/>
      <c r="D154" s="136"/>
      <c r="E154" s="56"/>
      <c r="F154" s="57"/>
      <c r="G154" s="72">
        <v>46190</v>
      </c>
      <c r="H154" s="73">
        <v>22</v>
      </c>
      <c r="I154" s="73"/>
      <c r="J154" s="73">
        <v>41</v>
      </c>
      <c r="K154" s="73">
        <f t="shared" si="91"/>
        <v>66</v>
      </c>
      <c r="L154" s="73">
        <f t="shared" si="103"/>
        <v>44</v>
      </c>
      <c r="M154" s="73">
        <f t="shared" si="103"/>
        <v>44</v>
      </c>
      <c r="N154" s="73">
        <f t="shared" si="103"/>
        <v>44</v>
      </c>
      <c r="O154" s="73">
        <f t="shared" si="103"/>
        <v>44</v>
      </c>
      <c r="P154" s="78">
        <f t="shared" si="114"/>
        <v>242</v>
      </c>
      <c r="Q154" s="78">
        <f t="shared" si="115"/>
        <v>9856</v>
      </c>
      <c r="R154" s="74" t="s">
        <v>23</v>
      </c>
    </row>
    <row r="155" spans="1:18" ht="15.95" customHeight="1" x14ac:dyDescent="0.25">
      <c r="A155" s="47"/>
      <c r="B155" s="55"/>
      <c r="C155" s="9"/>
      <c r="D155" s="136"/>
      <c r="E155" s="56"/>
      <c r="F155" s="57"/>
      <c r="G155" s="72">
        <v>46190</v>
      </c>
      <c r="H155" s="73">
        <v>22</v>
      </c>
      <c r="I155" s="73"/>
      <c r="J155" s="73">
        <v>42</v>
      </c>
      <c r="K155" s="73">
        <f t="shared" si="91"/>
        <v>66</v>
      </c>
      <c r="L155" s="73">
        <f t="shared" si="103"/>
        <v>44</v>
      </c>
      <c r="M155" s="73">
        <f t="shared" si="103"/>
        <v>44</v>
      </c>
      <c r="N155" s="73">
        <f t="shared" si="103"/>
        <v>44</v>
      </c>
      <c r="O155" s="73">
        <f t="shared" si="103"/>
        <v>44</v>
      </c>
      <c r="P155" s="78">
        <f t="shared" si="114"/>
        <v>242</v>
      </c>
      <c r="Q155" s="78">
        <f t="shared" si="115"/>
        <v>10098</v>
      </c>
      <c r="R155" s="74" t="s">
        <v>23</v>
      </c>
    </row>
    <row r="156" spans="1:18" ht="15.95" customHeight="1" x14ac:dyDescent="0.25">
      <c r="A156" s="47"/>
      <c r="B156" s="55"/>
      <c r="C156" s="9"/>
      <c r="D156" s="136"/>
      <c r="E156" s="56"/>
      <c r="F156" s="57"/>
      <c r="G156" s="72">
        <v>46190</v>
      </c>
      <c r="H156" s="73">
        <v>22</v>
      </c>
      <c r="I156" s="73"/>
      <c r="J156" s="73">
        <v>43</v>
      </c>
      <c r="K156" s="73">
        <f t="shared" si="91"/>
        <v>66</v>
      </c>
      <c r="L156" s="73">
        <f t="shared" si="103"/>
        <v>44</v>
      </c>
      <c r="M156" s="73">
        <f t="shared" si="103"/>
        <v>44</v>
      </c>
      <c r="N156" s="73">
        <f t="shared" si="103"/>
        <v>44</v>
      </c>
      <c r="O156" s="73">
        <f t="shared" si="103"/>
        <v>44</v>
      </c>
      <c r="P156" s="78">
        <f t="shared" si="114"/>
        <v>242</v>
      </c>
      <c r="Q156" s="78">
        <f t="shared" si="115"/>
        <v>10340</v>
      </c>
      <c r="R156" s="74" t="s">
        <v>23</v>
      </c>
    </row>
    <row r="157" spans="1:18" ht="15.95" customHeight="1" x14ac:dyDescent="0.25">
      <c r="A157" s="47"/>
      <c r="B157" s="55"/>
      <c r="C157" s="9"/>
      <c r="D157" s="136"/>
      <c r="E157" s="56"/>
      <c r="F157" s="57"/>
      <c r="G157" s="72">
        <v>46190</v>
      </c>
      <c r="H157" s="73">
        <v>22</v>
      </c>
      <c r="I157" s="73"/>
      <c r="J157" s="73">
        <v>44</v>
      </c>
      <c r="K157" s="73">
        <f t="shared" si="91"/>
        <v>66</v>
      </c>
      <c r="L157" s="73">
        <f t="shared" si="103"/>
        <v>44</v>
      </c>
      <c r="M157" s="73">
        <f t="shared" si="103"/>
        <v>44</v>
      </c>
      <c r="N157" s="73">
        <f t="shared" si="103"/>
        <v>44</v>
      </c>
      <c r="O157" s="73">
        <f t="shared" si="103"/>
        <v>44</v>
      </c>
      <c r="P157" s="78">
        <f t="shared" ref="P157:P159" si="116">IF(G157="","",SUM(K157:O157))</f>
        <v>242</v>
      </c>
      <c r="Q157" s="78">
        <f t="shared" ref="Q157:Q159" si="117">IF(P157="","",Q156+P157)</f>
        <v>10582</v>
      </c>
      <c r="R157" s="74" t="s">
        <v>23</v>
      </c>
    </row>
    <row r="158" spans="1:18" ht="15.95" customHeight="1" x14ac:dyDescent="0.25">
      <c r="A158" s="47"/>
      <c r="B158" s="55"/>
      <c r="C158" s="9"/>
      <c r="D158" s="136"/>
      <c r="E158" s="56"/>
      <c r="F158" s="57"/>
      <c r="G158" s="72">
        <v>46190</v>
      </c>
      <c r="H158" s="73">
        <v>22</v>
      </c>
      <c r="I158" s="73"/>
      <c r="J158" s="73">
        <v>45</v>
      </c>
      <c r="K158" s="73">
        <f t="shared" si="91"/>
        <v>66</v>
      </c>
      <c r="L158" s="73">
        <f t="shared" ref="L158:O160" si="118">22*2</f>
        <v>44</v>
      </c>
      <c r="M158" s="73">
        <f t="shared" si="118"/>
        <v>44</v>
      </c>
      <c r="N158" s="73">
        <f t="shared" si="118"/>
        <v>44</v>
      </c>
      <c r="O158" s="73">
        <f t="shared" si="118"/>
        <v>44</v>
      </c>
      <c r="P158" s="78">
        <f t="shared" si="116"/>
        <v>242</v>
      </c>
      <c r="Q158" s="78">
        <f t="shared" si="117"/>
        <v>10824</v>
      </c>
      <c r="R158" s="74" t="s">
        <v>23</v>
      </c>
    </row>
    <row r="159" spans="1:18" ht="15.95" customHeight="1" x14ac:dyDescent="0.25">
      <c r="A159" s="47"/>
      <c r="B159" s="55"/>
      <c r="C159" s="9"/>
      <c r="D159" s="136"/>
      <c r="E159" s="56"/>
      <c r="F159" s="57"/>
      <c r="G159" s="72">
        <v>46190</v>
      </c>
      <c r="H159" s="73">
        <v>22</v>
      </c>
      <c r="I159" s="73"/>
      <c r="J159" s="73">
        <v>46</v>
      </c>
      <c r="K159" s="73">
        <f t="shared" si="91"/>
        <v>66</v>
      </c>
      <c r="L159" s="73">
        <f t="shared" si="103"/>
        <v>44</v>
      </c>
      <c r="M159" s="73">
        <f t="shared" si="103"/>
        <v>44</v>
      </c>
      <c r="N159" s="73">
        <f t="shared" si="103"/>
        <v>44</v>
      </c>
      <c r="O159" s="73">
        <f t="shared" si="103"/>
        <v>44</v>
      </c>
      <c r="P159" s="78">
        <f t="shared" si="116"/>
        <v>242</v>
      </c>
      <c r="Q159" s="78">
        <f t="shared" si="117"/>
        <v>11066</v>
      </c>
      <c r="R159" s="74" t="s">
        <v>23</v>
      </c>
    </row>
    <row r="160" spans="1:18" ht="15.95" customHeight="1" x14ac:dyDescent="0.25">
      <c r="A160" s="47"/>
      <c r="B160" s="55"/>
      <c r="C160" s="9"/>
      <c r="D160" s="136"/>
      <c r="E160" s="56"/>
      <c r="F160" s="57"/>
      <c r="G160" s="72">
        <v>46190</v>
      </c>
      <c r="H160" s="73">
        <v>22</v>
      </c>
      <c r="I160" s="73"/>
      <c r="J160" s="73">
        <v>47</v>
      </c>
      <c r="K160" s="73">
        <f t="shared" si="91"/>
        <v>66</v>
      </c>
      <c r="L160" s="73">
        <f t="shared" si="118"/>
        <v>44</v>
      </c>
      <c r="M160" s="73">
        <f t="shared" si="118"/>
        <v>44</v>
      </c>
      <c r="N160" s="73">
        <f t="shared" si="118"/>
        <v>44</v>
      </c>
      <c r="O160" s="73">
        <f t="shared" si="118"/>
        <v>44</v>
      </c>
      <c r="P160" s="78">
        <f t="shared" ref="P160:P161" si="119">IF(G160="","",SUM(K160:O160))</f>
        <v>242</v>
      </c>
      <c r="Q160" s="78">
        <f t="shared" ref="Q160:Q161" si="120">IF(P160="","",Q159+P160)</f>
        <v>11308</v>
      </c>
      <c r="R160" s="74" t="s">
        <v>23</v>
      </c>
    </row>
    <row r="161" spans="1:18" ht="15.95" customHeight="1" x14ac:dyDescent="0.25">
      <c r="A161" s="47"/>
      <c r="B161" s="55"/>
      <c r="C161" s="9"/>
      <c r="D161" s="136"/>
      <c r="E161" s="56"/>
      <c r="F161" s="57"/>
      <c r="G161" s="72">
        <v>46191</v>
      </c>
      <c r="H161" s="73">
        <v>22</v>
      </c>
      <c r="I161" s="73"/>
      <c r="J161" s="73">
        <v>48</v>
      </c>
      <c r="K161" s="73">
        <f t="shared" si="91"/>
        <v>66</v>
      </c>
      <c r="L161" s="73">
        <f t="shared" si="103"/>
        <v>44</v>
      </c>
      <c r="M161" s="73">
        <f t="shared" si="103"/>
        <v>44</v>
      </c>
      <c r="N161" s="73">
        <f t="shared" si="103"/>
        <v>44</v>
      </c>
      <c r="O161" s="73">
        <f t="shared" si="103"/>
        <v>44</v>
      </c>
      <c r="P161" s="78">
        <f t="shared" si="119"/>
        <v>242</v>
      </c>
      <c r="Q161" s="78">
        <f t="shared" si="120"/>
        <v>11550</v>
      </c>
      <c r="R161" s="74" t="s">
        <v>23</v>
      </c>
    </row>
    <row r="162" spans="1:18" ht="15.95" customHeight="1" x14ac:dyDescent="0.25">
      <c r="A162" s="47"/>
      <c r="B162" s="55"/>
      <c r="C162" s="9"/>
      <c r="D162" s="136"/>
      <c r="E162" s="56"/>
      <c r="F162" s="57"/>
      <c r="G162" s="72">
        <v>46191</v>
      </c>
      <c r="H162" s="73">
        <v>22</v>
      </c>
      <c r="I162" s="73"/>
      <c r="J162" s="73">
        <v>49</v>
      </c>
      <c r="K162" s="73">
        <f t="shared" si="91"/>
        <v>66</v>
      </c>
      <c r="L162" s="73">
        <f t="shared" si="103"/>
        <v>44</v>
      </c>
      <c r="M162" s="73">
        <f t="shared" si="103"/>
        <v>44</v>
      </c>
      <c r="N162" s="73">
        <f t="shared" si="103"/>
        <v>44</v>
      </c>
      <c r="O162" s="73">
        <f t="shared" si="103"/>
        <v>44</v>
      </c>
      <c r="P162" s="78">
        <f t="shared" ref="P162:P163" si="121">IF(G162="","",SUM(K162:O162))</f>
        <v>242</v>
      </c>
      <c r="Q162" s="78">
        <f t="shared" ref="Q162:Q163" si="122">IF(P162="","",Q161+P162)</f>
        <v>11792</v>
      </c>
      <c r="R162" s="74" t="s">
        <v>23</v>
      </c>
    </row>
    <row r="163" spans="1:18" ht="15.95" customHeight="1" x14ac:dyDescent="0.25">
      <c r="A163" s="47"/>
      <c r="B163" s="55"/>
      <c r="C163" s="9"/>
      <c r="D163" s="136"/>
      <c r="E163" s="56"/>
      <c r="F163" s="57"/>
      <c r="G163" s="72">
        <v>46191</v>
      </c>
      <c r="H163" s="73">
        <v>22</v>
      </c>
      <c r="I163" s="73"/>
      <c r="J163" s="73">
        <v>50</v>
      </c>
      <c r="K163" s="73">
        <f t="shared" si="91"/>
        <v>66</v>
      </c>
      <c r="L163" s="73">
        <f t="shared" si="103"/>
        <v>44</v>
      </c>
      <c r="M163" s="73">
        <f t="shared" si="103"/>
        <v>44</v>
      </c>
      <c r="N163" s="73">
        <f t="shared" si="103"/>
        <v>44</v>
      </c>
      <c r="O163" s="73">
        <f t="shared" si="103"/>
        <v>44</v>
      </c>
      <c r="P163" s="78">
        <f t="shared" si="121"/>
        <v>242</v>
      </c>
      <c r="Q163" s="78">
        <f t="shared" si="122"/>
        <v>12034</v>
      </c>
      <c r="R163" s="74" t="s">
        <v>23</v>
      </c>
    </row>
    <row r="164" spans="1:18" ht="15.95" customHeight="1" x14ac:dyDescent="0.25">
      <c r="A164" s="47"/>
      <c r="B164" s="55"/>
      <c r="C164" s="9"/>
      <c r="D164" s="136"/>
      <c r="E164" s="56"/>
      <c r="F164" s="57"/>
      <c r="G164" s="72">
        <v>46191</v>
      </c>
      <c r="H164" s="73">
        <v>22</v>
      </c>
      <c r="I164" s="73"/>
      <c r="J164" s="73">
        <v>51</v>
      </c>
      <c r="K164" s="73">
        <f t="shared" si="91"/>
        <v>66</v>
      </c>
      <c r="L164" s="73">
        <f t="shared" ref="L164:O173" si="123">22*2</f>
        <v>44</v>
      </c>
      <c r="M164" s="73">
        <f t="shared" si="123"/>
        <v>44</v>
      </c>
      <c r="N164" s="73">
        <f t="shared" si="123"/>
        <v>44</v>
      </c>
      <c r="O164" s="73">
        <f t="shared" si="123"/>
        <v>44</v>
      </c>
      <c r="P164" s="78">
        <f t="shared" ref="P164:P165" si="124">IF(G164="","",SUM(K164:O164))</f>
        <v>242</v>
      </c>
      <c r="Q164" s="78">
        <f t="shared" ref="Q164:Q165" si="125">IF(P164="","",Q163+P164)</f>
        <v>12276</v>
      </c>
      <c r="R164" s="74" t="s">
        <v>23</v>
      </c>
    </row>
    <row r="165" spans="1:18" ht="15.95" customHeight="1" x14ac:dyDescent="0.25">
      <c r="A165" s="47"/>
      <c r="B165" s="55"/>
      <c r="C165" s="9"/>
      <c r="D165" s="136"/>
      <c r="E165" s="56"/>
      <c r="F165" s="57"/>
      <c r="G165" s="72">
        <v>46191</v>
      </c>
      <c r="H165" s="73">
        <v>23</v>
      </c>
      <c r="I165" s="73"/>
      <c r="J165" s="73">
        <v>52</v>
      </c>
      <c r="K165" s="73">
        <f>23*3</f>
        <v>69</v>
      </c>
      <c r="L165" s="73">
        <f>23*2</f>
        <v>46</v>
      </c>
      <c r="M165" s="73">
        <f t="shared" ref="M165:O165" si="126">23*2</f>
        <v>46</v>
      </c>
      <c r="N165" s="73">
        <f t="shared" si="126"/>
        <v>46</v>
      </c>
      <c r="O165" s="73">
        <f t="shared" si="126"/>
        <v>46</v>
      </c>
      <c r="P165" s="78">
        <f t="shared" si="124"/>
        <v>253</v>
      </c>
      <c r="Q165" s="78">
        <f t="shared" si="125"/>
        <v>12529</v>
      </c>
      <c r="R165" s="74" t="s">
        <v>23</v>
      </c>
    </row>
    <row r="166" spans="1:18" ht="15.95" customHeight="1" x14ac:dyDescent="0.25">
      <c r="A166" s="47"/>
      <c r="B166" s="55"/>
      <c r="C166" s="9"/>
      <c r="D166" s="136"/>
      <c r="E166" s="56"/>
      <c r="F166" s="57"/>
      <c r="G166" s="72">
        <v>46191</v>
      </c>
      <c r="H166" s="73">
        <v>22</v>
      </c>
      <c r="I166" s="73"/>
      <c r="J166" s="73">
        <v>53</v>
      </c>
      <c r="K166" s="73">
        <f t="shared" si="91"/>
        <v>66</v>
      </c>
      <c r="L166" s="73">
        <f t="shared" si="123"/>
        <v>44</v>
      </c>
      <c r="M166" s="73">
        <f t="shared" si="123"/>
        <v>44</v>
      </c>
      <c r="N166" s="73">
        <f t="shared" si="123"/>
        <v>44</v>
      </c>
      <c r="O166" s="73">
        <f t="shared" si="123"/>
        <v>44</v>
      </c>
      <c r="P166" s="78">
        <f t="shared" ref="P166" si="127">IF(G166="","",SUM(K166:O166))</f>
        <v>242</v>
      </c>
      <c r="Q166" s="78">
        <f t="shared" ref="Q166" si="128">IF(P166="","",Q165+P166)</f>
        <v>12771</v>
      </c>
      <c r="R166" s="74" t="s">
        <v>23</v>
      </c>
    </row>
    <row r="167" spans="1:18" ht="15.95" customHeight="1" x14ac:dyDescent="0.25">
      <c r="A167" s="47"/>
      <c r="B167" s="55"/>
      <c r="C167" s="9"/>
      <c r="D167" s="136"/>
      <c r="E167" s="56"/>
      <c r="F167" s="57"/>
      <c r="G167" s="72">
        <v>46191</v>
      </c>
      <c r="H167" s="73">
        <v>22</v>
      </c>
      <c r="I167" s="73"/>
      <c r="J167" s="73">
        <v>54</v>
      </c>
      <c r="K167" s="73">
        <f t="shared" si="91"/>
        <v>66</v>
      </c>
      <c r="L167" s="73">
        <f t="shared" si="123"/>
        <v>44</v>
      </c>
      <c r="M167" s="73">
        <f t="shared" si="123"/>
        <v>44</v>
      </c>
      <c r="N167" s="73">
        <f t="shared" si="123"/>
        <v>44</v>
      </c>
      <c r="O167" s="73">
        <f t="shared" si="123"/>
        <v>44</v>
      </c>
      <c r="P167" s="78">
        <f t="shared" ref="P167:P168" si="129">IF(G167="","",SUM(K167:O167))</f>
        <v>242</v>
      </c>
      <c r="Q167" s="78">
        <f t="shared" ref="Q167:Q168" si="130">IF(P167="","",Q166+P167)</f>
        <v>13013</v>
      </c>
      <c r="R167" s="74" t="s">
        <v>23</v>
      </c>
    </row>
    <row r="168" spans="1:18" ht="15.95" customHeight="1" x14ac:dyDescent="0.25">
      <c r="A168" s="47"/>
      <c r="B168" s="55"/>
      <c r="C168" s="9"/>
      <c r="D168" s="136"/>
      <c r="E168" s="56"/>
      <c r="F168" s="57"/>
      <c r="G168" s="72">
        <v>46191</v>
      </c>
      <c r="H168" s="73">
        <v>22</v>
      </c>
      <c r="I168" s="73"/>
      <c r="J168" s="73">
        <v>55</v>
      </c>
      <c r="K168" s="73">
        <f t="shared" si="91"/>
        <v>66</v>
      </c>
      <c r="L168" s="73">
        <f t="shared" si="123"/>
        <v>44</v>
      </c>
      <c r="M168" s="73">
        <f t="shared" si="123"/>
        <v>44</v>
      </c>
      <c r="N168" s="73">
        <f t="shared" si="123"/>
        <v>44</v>
      </c>
      <c r="O168" s="73">
        <f t="shared" si="123"/>
        <v>44</v>
      </c>
      <c r="P168" s="78">
        <f t="shared" si="129"/>
        <v>242</v>
      </c>
      <c r="Q168" s="78">
        <f t="shared" si="130"/>
        <v>13255</v>
      </c>
      <c r="R168" s="74" t="s">
        <v>23</v>
      </c>
    </row>
    <row r="169" spans="1:18" ht="15.95" customHeight="1" x14ac:dyDescent="0.25">
      <c r="A169" s="47"/>
      <c r="B169" s="55"/>
      <c r="C169" s="9"/>
      <c r="D169" s="136"/>
      <c r="E169" s="56"/>
      <c r="F169" s="57"/>
      <c r="G169" s="118">
        <v>46193</v>
      </c>
      <c r="H169" s="119">
        <v>22</v>
      </c>
      <c r="I169" s="119"/>
      <c r="J169" s="119">
        <v>56</v>
      </c>
      <c r="K169" s="119">
        <f t="shared" si="91"/>
        <v>66</v>
      </c>
      <c r="L169" s="119">
        <f t="shared" si="123"/>
        <v>44</v>
      </c>
      <c r="M169" s="119">
        <f t="shared" si="123"/>
        <v>44</v>
      </c>
      <c r="N169" s="119">
        <f t="shared" si="123"/>
        <v>44</v>
      </c>
      <c r="O169" s="119">
        <f t="shared" si="123"/>
        <v>44</v>
      </c>
      <c r="P169" s="120">
        <f t="shared" ref="P169" si="131">IF(G169="","",SUM(K169:O169))</f>
        <v>242</v>
      </c>
      <c r="Q169" s="120">
        <f t="shared" ref="Q169:Q174" si="132">IF(P169="","",Q168+P169)</f>
        <v>13497</v>
      </c>
      <c r="R169" s="121" t="s">
        <v>23</v>
      </c>
    </row>
    <row r="170" spans="1:18" ht="15.95" customHeight="1" x14ac:dyDescent="0.25">
      <c r="A170" s="47"/>
      <c r="B170" s="55"/>
      <c r="C170" s="9"/>
      <c r="D170" s="136"/>
      <c r="E170" s="56"/>
      <c r="F170" s="57"/>
      <c r="G170" s="118">
        <v>46193</v>
      </c>
      <c r="H170" s="119">
        <v>22</v>
      </c>
      <c r="I170" s="119"/>
      <c r="J170" s="119">
        <v>57</v>
      </c>
      <c r="K170" s="119">
        <f t="shared" si="91"/>
        <v>66</v>
      </c>
      <c r="L170" s="119">
        <f t="shared" si="123"/>
        <v>44</v>
      </c>
      <c r="M170" s="119">
        <f t="shared" si="123"/>
        <v>44</v>
      </c>
      <c r="N170" s="119">
        <f t="shared" si="123"/>
        <v>44</v>
      </c>
      <c r="O170" s="119">
        <f t="shared" si="123"/>
        <v>44</v>
      </c>
      <c r="P170" s="120">
        <f t="shared" ref="P170:P171" si="133">IF(G170="","",SUM(K170:O170))</f>
        <v>242</v>
      </c>
      <c r="Q170" s="120">
        <f t="shared" si="132"/>
        <v>13739</v>
      </c>
      <c r="R170" s="121" t="s">
        <v>23</v>
      </c>
    </row>
    <row r="171" spans="1:18" ht="15.95" customHeight="1" x14ac:dyDescent="0.25">
      <c r="A171" s="47"/>
      <c r="B171" s="55"/>
      <c r="C171" s="9"/>
      <c r="D171" s="136"/>
      <c r="E171" s="56"/>
      <c r="F171" s="57"/>
      <c r="G171" s="118">
        <v>46193</v>
      </c>
      <c r="H171" s="119">
        <v>22</v>
      </c>
      <c r="I171" s="119"/>
      <c r="J171" s="119">
        <v>58</v>
      </c>
      <c r="K171" s="119">
        <f t="shared" si="91"/>
        <v>66</v>
      </c>
      <c r="L171" s="119">
        <f t="shared" si="123"/>
        <v>44</v>
      </c>
      <c r="M171" s="119">
        <f t="shared" si="123"/>
        <v>44</v>
      </c>
      <c r="N171" s="119">
        <f t="shared" si="123"/>
        <v>44</v>
      </c>
      <c r="O171" s="119">
        <f t="shared" si="123"/>
        <v>44</v>
      </c>
      <c r="P171" s="120">
        <f t="shared" si="133"/>
        <v>242</v>
      </c>
      <c r="Q171" s="120">
        <f t="shared" si="132"/>
        <v>13981</v>
      </c>
      <c r="R171" s="121" t="s">
        <v>23</v>
      </c>
    </row>
    <row r="172" spans="1:18" ht="15.95" customHeight="1" x14ac:dyDescent="0.25">
      <c r="A172" s="47"/>
      <c r="B172" s="55"/>
      <c r="C172" s="9"/>
      <c r="D172" s="136"/>
      <c r="E172" s="56"/>
      <c r="F172" s="57"/>
      <c r="G172" s="118">
        <v>46193</v>
      </c>
      <c r="H172" s="119">
        <v>22</v>
      </c>
      <c r="I172" s="119"/>
      <c r="J172" s="119">
        <v>59</v>
      </c>
      <c r="K172" s="119">
        <f t="shared" si="91"/>
        <v>66</v>
      </c>
      <c r="L172" s="119">
        <f t="shared" si="123"/>
        <v>44</v>
      </c>
      <c r="M172" s="119">
        <f t="shared" si="123"/>
        <v>44</v>
      </c>
      <c r="N172" s="119">
        <f t="shared" si="123"/>
        <v>44</v>
      </c>
      <c r="O172" s="119">
        <f t="shared" si="123"/>
        <v>44</v>
      </c>
      <c r="P172" s="120">
        <f t="shared" ref="P172:P173" si="134">IF(G172="","",SUM(K172:O172))</f>
        <v>242</v>
      </c>
      <c r="Q172" s="120">
        <f t="shared" si="132"/>
        <v>14223</v>
      </c>
      <c r="R172" s="121" t="s">
        <v>23</v>
      </c>
    </row>
    <row r="173" spans="1:18" ht="15.95" customHeight="1" x14ac:dyDescent="0.25">
      <c r="A173" s="47"/>
      <c r="B173" s="55"/>
      <c r="C173" s="9"/>
      <c r="D173" s="136"/>
      <c r="E173" s="56"/>
      <c r="F173" s="57"/>
      <c r="G173" s="118">
        <v>46193</v>
      </c>
      <c r="H173" s="119">
        <v>22</v>
      </c>
      <c r="I173" s="119"/>
      <c r="J173" s="119">
        <v>60</v>
      </c>
      <c r="K173" s="119">
        <f t="shared" si="91"/>
        <v>66</v>
      </c>
      <c r="L173" s="119">
        <f t="shared" si="123"/>
        <v>44</v>
      </c>
      <c r="M173" s="119">
        <f t="shared" si="123"/>
        <v>44</v>
      </c>
      <c r="N173" s="119">
        <f t="shared" si="123"/>
        <v>44</v>
      </c>
      <c r="O173" s="119">
        <f t="shared" si="123"/>
        <v>44</v>
      </c>
      <c r="P173" s="120">
        <f t="shared" si="134"/>
        <v>242</v>
      </c>
      <c r="Q173" s="120">
        <f t="shared" si="132"/>
        <v>14465</v>
      </c>
      <c r="R173" s="121" t="s">
        <v>23</v>
      </c>
    </row>
    <row r="174" spans="1:18" ht="15.95" customHeight="1" x14ac:dyDescent="0.25">
      <c r="A174" s="47"/>
      <c r="B174" s="55"/>
      <c r="C174" s="9"/>
      <c r="D174" s="136"/>
      <c r="E174" s="56"/>
      <c r="F174" s="57"/>
      <c r="G174" s="118">
        <v>46193</v>
      </c>
      <c r="H174" s="119">
        <v>22</v>
      </c>
      <c r="I174" s="119"/>
      <c r="J174" s="119">
        <v>61</v>
      </c>
      <c r="K174" s="119">
        <v>12</v>
      </c>
      <c r="L174" s="119">
        <v>8</v>
      </c>
      <c r="M174" s="119">
        <v>8</v>
      </c>
      <c r="N174" s="119">
        <v>8</v>
      </c>
      <c r="O174" s="119">
        <v>8</v>
      </c>
      <c r="P174" s="120">
        <f t="shared" ref="P174" si="135">IF(G174="","",SUM(K174:O174))</f>
        <v>44</v>
      </c>
      <c r="Q174" s="120">
        <f t="shared" si="132"/>
        <v>14509</v>
      </c>
      <c r="R174" s="121" t="s">
        <v>23</v>
      </c>
    </row>
    <row r="175" spans="1:18" ht="15.95" customHeight="1" x14ac:dyDescent="0.25">
      <c r="A175" s="47"/>
      <c r="B175" s="55"/>
      <c r="C175" s="9"/>
      <c r="D175" s="136"/>
      <c r="E175" s="56"/>
      <c r="F175" s="57"/>
      <c r="G175" s="118"/>
      <c r="H175" s="119"/>
      <c r="I175" s="119"/>
      <c r="J175" s="119"/>
      <c r="K175" s="119"/>
      <c r="L175" s="119"/>
      <c r="M175" s="119"/>
      <c r="N175" s="119"/>
      <c r="O175" s="119"/>
      <c r="P175" s="120" t="str">
        <f t="shared" ref="P175:P176" si="136">IF(G175="","",SUM(K175:O175))</f>
        <v/>
      </c>
      <c r="Q175" s="120" t="str">
        <f t="shared" ref="Q175:Q176" si="137">IF(P175="","",Q174+P175)</f>
        <v/>
      </c>
      <c r="R175" s="121"/>
    </row>
    <row r="176" spans="1:18" ht="15.95" customHeight="1" thickBot="1" x14ac:dyDescent="0.3">
      <c r="A176" s="47"/>
      <c r="B176" s="55"/>
      <c r="C176" s="9"/>
      <c r="D176" s="136"/>
      <c r="E176" s="56"/>
      <c r="F176" s="57"/>
      <c r="G176" s="118"/>
      <c r="H176" s="119"/>
      <c r="I176" s="119"/>
      <c r="J176" s="119"/>
      <c r="K176" s="119"/>
      <c r="L176" s="119"/>
      <c r="M176" s="119"/>
      <c r="N176" s="119"/>
      <c r="O176" s="119"/>
      <c r="P176" s="120" t="str">
        <f t="shared" si="136"/>
        <v/>
      </c>
      <c r="Q176" s="120" t="str">
        <f t="shared" si="137"/>
        <v/>
      </c>
      <c r="R176" s="121"/>
    </row>
    <row r="177" spans="1:18" ht="19.5" customHeight="1" thickBot="1" x14ac:dyDescent="0.3">
      <c r="A177" s="48"/>
      <c r="B177" s="58"/>
      <c r="C177" s="58"/>
      <c r="D177" s="138"/>
      <c r="E177" s="59"/>
      <c r="F177" s="58"/>
      <c r="G177" s="19"/>
      <c r="H177" s="20"/>
      <c r="I177" s="21"/>
      <c r="J177" s="22" t="s">
        <v>11</v>
      </c>
      <c r="K177" s="38">
        <f>SUM(K114:K176)</f>
        <v>3957</v>
      </c>
      <c r="L177" s="38">
        <f>SUM(L114:L176)</f>
        <v>2638</v>
      </c>
      <c r="M177" s="38">
        <f>SUM(M114:M176)</f>
        <v>2638</v>
      </c>
      <c r="N177" s="38">
        <f>SUM(N114:N176)</f>
        <v>2638</v>
      </c>
      <c r="O177" s="38">
        <f>SUM(O114:O176)</f>
        <v>2638</v>
      </c>
      <c r="P177" s="38">
        <f>SUM(K177:O177)</f>
        <v>14509</v>
      </c>
      <c r="Q177" s="23"/>
      <c r="R177" s="82"/>
    </row>
    <row r="178" spans="1:18" ht="18.75" customHeight="1" thickBot="1" x14ac:dyDescent="0.3">
      <c r="A178" s="49"/>
      <c r="B178" s="60"/>
      <c r="C178" s="60"/>
      <c r="D178" s="139"/>
      <c r="E178" s="60"/>
      <c r="F178" s="60"/>
      <c r="G178" s="24"/>
      <c r="H178" s="24"/>
      <c r="I178" s="25"/>
      <c r="J178" s="26" t="s">
        <v>12</v>
      </c>
      <c r="K178" s="39">
        <f>IF(K112="","",K177-K112)</f>
        <v>39</v>
      </c>
      <c r="L178" s="39">
        <f>IF(L112="","",L177-L112)</f>
        <v>26</v>
      </c>
      <c r="M178" s="39">
        <f>IF(M112="","",M177-M112)</f>
        <v>26</v>
      </c>
      <c r="N178" s="39">
        <f>IF(N112="","",N177-N112)</f>
        <v>26</v>
      </c>
      <c r="O178" s="39">
        <f>IF(O112="","",O177-O112)</f>
        <v>26</v>
      </c>
      <c r="P178" s="39">
        <f>SUM(K178:O178)</f>
        <v>143</v>
      </c>
      <c r="Q178" s="27"/>
      <c r="R178" s="83"/>
    </row>
    <row r="179" spans="1:18" ht="18.75" customHeight="1" x14ac:dyDescent="0.25">
      <c r="A179" s="43"/>
      <c r="E179" s="43"/>
      <c r="I179"/>
      <c r="J179" s="130"/>
      <c r="K179" s="160">
        <f t="shared" ref="K179:P179" si="138">K178/K112</f>
        <v>9.954058192955589E-3</v>
      </c>
      <c r="L179" s="160">
        <f t="shared" si="138"/>
        <v>9.954058192955589E-3</v>
      </c>
      <c r="M179" s="160">
        <f t="shared" si="138"/>
        <v>9.954058192955589E-3</v>
      </c>
      <c r="N179" s="160">
        <f t="shared" si="138"/>
        <v>9.954058192955589E-3</v>
      </c>
      <c r="O179" s="160">
        <f t="shared" si="138"/>
        <v>9.954058192955589E-3</v>
      </c>
      <c r="P179" s="160">
        <f t="shared" si="138"/>
        <v>9.954058192955589E-3</v>
      </c>
      <c r="Q179" s="29"/>
    </row>
    <row r="180" spans="1:18" s="1" customFormat="1" ht="18.75" customHeight="1" thickBot="1" x14ac:dyDescent="0.35">
      <c r="A180" s="46"/>
      <c r="B180" s="41"/>
      <c r="C180" s="41"/>
      <c r="D180" s="133"/>
      <c r="E180" s="41"/>
      <c r="F180" s="41"/>
      <c r="I180" s="90" t="s">
        <v>26</v>
      </c>
      <c r="K180" s="30"/>
      <c r="L180" s="30"/>
      <c r="M180" s="30"/>
      <c r="N180" s="30"/>
      <c r="O180" s="30"/>
      <c r="P180" s="30"/>
      <c r="Q180" s="30"/>
      <c r="R180" s="81"/>
    </row>
    <row r="181" spans="1:18" s="2" customFormat="1" ht="27" customHeight="1" thickBot="1" x14ac:dyDescent="0.25">
      <c r="A181" s="91"/>
      <c r="B181" s="51"/>
      <c r="C181" s="51"/>
      <c r="D181" s="134"/>
      <c r="E181" s="52"/>
      <c r="F181" s="53"/>
      <c r="G181" s="15"/>
      <c r="H181" s="15"/>
      <c r="I181" s="15"/>
      <c r="J181" s="16" t="s">
        <v>16</v>
      </c>
      <c r="K181" s="17">
        <v>3918</v>
      </c>
      <c r="L181" s="17">
        <v>2612</v>
      </c>
      <c r="M181" s="17">
        <v>2612</v>
      </c>
      <c r="N181" s="17">
        <v>2612</v>
      </c>
      <c r="O181" s="17">
        <v>2612</v>
      </c>
      <c r="P181" s="18">
        <f>SUM(K181:O181)</f>
        <v>14366</v>
      </c>
      <c r="Q181" s="37"/>
      <c r="R181" s="76">
        <v>46215</v>
      </c>
    </row>
    <row r="182" spans="1:18" s="13" customFormat="1" ht="30.75" customHeight="1" thickBot="1" x14ac:dyDescent="0.2">
      <c r="A182" s="44" t="s">
        <v>17</v>
      </c>
      <c r="B182" s="50" t="s">
        <v>13</v>
      </c>
      <c r="C182" s="50" t="s">
        <v>14</v>
      </c>
      <c r="D182" s="135" t="s">
        <v>9</v>
      </c>
      <c r="E182" s="50" t="s">
        <v>22</v>
      </c>
      <c r="F182" s="50" t="s">
        <v>8</v>
      </c>
      <c r="G182" s="10" t="s">
        <v>7</v>
      </c>
      <c r="H182" s="10" t="s">
        <v>5</v>
      </c>
      <c r="I182" s="10" t="s">
        <v>6</v>
      </c>
      <c r="J182" s="11" t="s">
        <v>4</v>
      </c>
      <c r="K182" s="14" t="s">
        <v>28</v>
      </c>
      <c r="L182" s="14" t="s">
        <v>29</v>
      </c>
      <c r="M182" s="14" t="s">
        <v>1</v>
      </c>
      <c r="N182" s="14" t="s">
        <v>24</v>
      </c>
      <c r="O182" s="14" t="s">
        <v>25</v>
      </c>
      <c r="P182" s="12" t="s">
        <v>10</v>
      </c>
      <c r="Q182" s="12" t="s">
        <v>3</v>
      </c>
      <c r="R182" s="85" t="s">
        <v>0</v>
      </c>
    </row>
    <row r="183" spans="1:18" s="3" customFormat="1" ht="15.95" customHeight="1" x14ac:dyDescent="0.2">
      <c r="A183" s="86" t="s">
        <v>32</v>
      </c>
      <c r="B183" s="87" t="s">
        <v>31</v>
      </c>
      <c r="C183" s="87">
        <v>14225</v>
      </c>
      <c r="D183" s="87" t="s">
        <v>35</v>
      </c>
      <c r="E183" s="88">
        <f>P181</f>
        <v>14366</v>
      </c>
      <c r="F183" s="89"/>
      <c r="G183" s="72">
        <v>46193</v>
      </c>
      <c r="H183" s="73">
        <v>22</v>
      </c>
      <c r="I183" s="73"/>
      <c r="J183" s="73">
        <v>61</v>
      </c>
      <c r="K183" s="73">
        <f>18*3</f>
        <v>54</v>
      </c>
      <c r="L183" s="73">
        <f>18*2</f>
        <v>36</v>
      </c>
      <c r="M183" s="73">
        <f t="shared" ref="M183:O183" si="139">18*2</f>
        <v>36</v>
      </c>
      <c r="N183" s="73">
        <f t="shared" si="139"/>
        <v>36</v>
      </c>
      <c r="O183" s="73">
        <f t="shared" si="139"/>
        <v>36</v>
      </c>
      <c r="P183" s="78">
        <f>IF(G183="","",SUM(K183:O183))</f>
        <v>198</v>
      </c>
      <c r="Q183" s="128">
        <f>IF(P183="","",P183)</f>
        <v>198</v>
      </c>
      <c r="R183" s="79" t="s">
        <v>23</v>
      </c>
    </row>
    <row r="184" spans="1:18" ht="15.95" customHeight="1" x14ac:dyDescent="0.25">
      <c r="A184" s="47" t="s">
        <v>37</v>
      </c>
      <c r="B184" s="55"/>
      <c r="C184" s="9"/>
      <c r="D184" s="136" t="s">
        <v>44</v>
      </c>
      <c r="E184" s="56"/>
      <c r="F184" s="57"/>
      <c r="G184" s="72">
        <v>46193</v>
      </c>
      <c r="H184" s="73">
        <v>22</v>
      </c>
      <c r="I184" s="73"/>
      <c r="J184" s="73">
        <v>62</v>
      </c>
      <c r="K184" s="73">
        <f t="shared" ref="K184:K190" si="140">22*3</f>
        <v>66</v>
      </c>
      <c r="L184" s="73">
        <f t="shared" ref="L184:O190" si="141">22*2</f>
        <v>44</v>
      </c>
      <c r="M184" s="73">
        <f t="shared" si="141"/>
        <v>44</v>
      </c>
      <c r="N184" s="73">
        <f t="shared" si="141"/>
        <v>44</v>
      </c>
      <c r="O184" s="73">
        <f t="shared" si="141"/>
        <v>44</v>
      </c>
      <c r="P184" s="78">
        <f>IF(G184="","",SUM(K184:O184))</f>
        <v>242</v>
      </c>
      <c r="Q184" s="78">
        <f>IF(P184="","",Q183+P184)</f>
        <v>440</v>
      </c>
      <c r="R184" s="74" t="s">
        <v>23</v>
      </c>
    </row>
    <row r="185" spans="1:18" ht="15.95" customHeight="1" x14ac:dyDescent="0.25">
      <c r="A185" s="47"/>
      <c r="B185" s="55"/>
      <c r="C185" s="9"/>
      <c r="D185" s="137"/>
      <c r="E185" s="56"/>
      <c r="F185" s="57"/>
      <c r="G185" s="72">
        <v>46195</v>
      </c>
      <c r="H185" s="73">
        <v>22</v>
      </c>
      <c r="I185" s="73"/>
      <c r="J185" s="73">
        <v>63</v>
      </c>
      <c r="K185" s="73">
        <f t="shared" si="140"/>
        <v>66</v>
      </c>
      <c r="L185" s="73">
        <f t="shared" si="141"/>
        <v>44</v>
      </c>
      <c r="M185" s="73">
        <f t="shared" si="141"/>
        <v>44</v>
      </c>
      <c r="N185" s="73">
        <f t="shared" si="141"/>
        <v>44</v>
      </c>
      <c r="O185" s="73">
        <f t="shared" si="141"/>
        <v>44</v>
      </c>
      <c r="P185" s="78">
        <f t="shared" ref="P185" si="142">IF(G185="","",SUM(K185:O185))</f>
        <v>242</v>
      </c>
      <c r="Q185" s="78">
        <f>IF(P185="","",Q184+P185)</f>
        <v>682</v>
      </c>
      <c r="R185" s="42" t="s">
        <v>23</v>
      </c>
    </row>
    <row r="186" spans="1:18" ht="15.95" customHeight="1" x14ac:dyDescent="0.25">
      <c r="A186" s="47"/>
      <c r="B186" s="55"/>
      <c r="C186" s="9"/>
      <c r="D186" s="136"/>
      <c r="E186" s="56"/>
      <c r="F186" s="57"/>
      <c r="G186" s="72">
        <v>46195</v>
      </c>
      <c r="H186" s="73">
        <v>22</v>
      </c>
      <c r="I186" s="73"/>
      <c r="J186" s="73">
        <v>64</v>
      </c>
      <c r="K186" s="73">
        <f t="shared" si="140"/>
        <v>66</v>
      </c>
      <c r="L186" s="73">
        <f t="shared" si="141"/>
        <v>44</v>
      </c>
      <c r="M186" s="73">
        <f t="shared" si="141"/>
        <v>44</v>
      </c>
      <c r="N186" s="73">
        <f t="shared" si="141"/>
        <v>44</v>
      </c>
      <c r="O186" s="73">
        <f t="shared" si="141"/>
        <v>44</v>
      </c>
      <c r="P186" s="78">
        <f>IF(G186="","",SUM(K186:O186))</f>
        <v>242</v>
      </c>
      <c r="Q186" s="78">
        <f t="shared" ref="Q186:Q190" si="143">IF(P186="","",Q185+P186)</f>
        <v>924</v>
      </c>
      <c r="R186" s="42" t="s">
        <v>23</v>
      </c>
    </row>
    <row r="187" spans="1:18" ht="15.95" customHeight="1" x14ac:dyDescent="0.25">
      <c r="A187" s="47"/>
      <c r="B187" s="55"/>
      <c r="C187" s="9"/>
      <c r="D187" s="136"/>
      <c r="E187" s="56"/>
      <c r="F187" s="57"/>
      <c r="G187" s="72">
        <v>46195</v>
      </c>
      <c r="H187" s="73">
        <v>22</v>
      </c>
      <c r="I187" s="73"/>
      <c r="J187" s="73">
        <v>65</v>
      </c>
      <c r="K187" s="73">
        <f t="shared" si="140"/>
        <v>66</v>
      </c>
      <c r="L187" s="73">
        <f t="shared" si="141"/>
        <v>44</v>
      </c>
      <c r="M187" s="73">
        <f t="shared" si="141"/>
        <v>44</v>
      </c>
      <c r="N187" s="73">
        <f t="shared" si="141"/>
        <v>44</v>
      </c>
      <c r="O187" s="73">
        <f t="shared" si="141"/>
        <v>44</v>
      </c>
      <c r="P187" s="78">
        <f t="shared" ref="P187" si="144">IF(G187="","",SUM(K187:O187))</f>
        <v>242</v>
      </c>
      <c r="Q187" s="78">
        <f>IF(P187="","",Q186+P187)</f>
        <v>1166</v>
      </c>
      <c r="R187" s="74" t="s">
        <v>23</v>
      </c>
    </row>
    <row r="188" spans="1:18" ht="15.95" customHeight="1" x14ac:dyDescent="0.25">
      <c r="A188" s="47"/>
      <c r="B188" s="55"/>
      <c r="C188" s="9"/>
      <c r="D188" s="136"/>
      <c r="E188" s="56"/>
      <c r="F188" s="57"/>
      <c r="G188" s="72">
        <v>46196</v>
      </c>
      <c r="H188" s="73">
        <v>22</v>
      </c>
      <c r="I188" s="73"/>
      <c r="J188" s="73">
        <v>66</v>
      </c>
      <c r="K188" s="73">
        <f t="shared" si="140"/>
        <v>66</v>
      </c>
      <c r="L188" s="73">
        <f t="shared" si="141"/>
        <v>44</v>
      </c>
      <c r="M188" s="73">
        <f t="shared" si="141"/>
        <v>44</v>
      </c>
      <c r="N188" s="73">
        <f t="shared" si="141"/>
        <v>44</v>
      </c>
      <c r="O188" s="73">
        <f t="shared" si="141"/>
        <v>44</v>
      </c>
      <c r="P188" s="78">
        <f t="shared" ref="P188:P190" si="145">IF(G188="","",SUM(K188:O188))</f>
        <v>242</v>
      </c>
      <c r="Q188" s="78">
        <f t="shared" si="143"/>
        <v>1408</v>
      </c>
      <c r="R188" s="74" t="s">
        <v>23</v>
      </c>
    </row>
    <row r="189" spans="1:18" ht="15.95" customHeight="1" x14ac:dyDescent="0.25">
      <c r="A189" s="47"/>
      <c r="B189" s="55"/>
      <c r="C189" s="9"/>
      <c r="D189" s="136"/>
      <c r="E189" s="56"/>
      <c r="F189" s="57"/>
      <c r="G189" s="72">
        <v>46196</v>
      </c>
      <c r="H189" s="73">
        <v>22</v>
      </c>
      <c r="I189" s="73"/>
      <c r="J189" s="73">
        <v>67</v>
      </c>
      <c r="K189" s="73">
        <f t="shared" si="140"/>
        <v>66</v>
      </c>
      <c r="L189" s="73">
        <f t="shared" si="141"/>
        <v>44</v>
      </c>
      <c r="M189" s="73">
        <f t="shared" si="141"/>
        <v>44</v>
      </c>
      <c r="N189" s="73">
        <f t="shared" si="141"/>
        <v>44</v>
      </c>
      <c r="O189" s="73">
        <f t="shared" si="141"/>
        <v>44</v>
      </c>
      <c r="P189" s="78">
        <f t="shared" si="145"/>
        <v>242</v>
      </c>
      <c r="Q189" s="78">
        <f t="shared" si="143"/>
        <v>1650</v>
      </c>
      <c r="R189" s="74" t="s">
        <v>23</v>
      </c>
    </row>
    <row r="190" spans="1:18" ht="15.95" customHeight="1" x14ac:dyDescent="0.25">
      <c r="A190" s="47"/>
      <c r="B190" s="55"/>
      <c r="C190" s="9"/>
      <c r="D190" s="136"/>
      <c r="E190" s="56"/>
      <c r="F190" s="57"/>
      <c r="G190" s="72">
        <v>46196</v>
      </c>
      <c r="H190" s="73">
        <v>22</v>
      </c>
      <c r="I190" s="73"/>
      <c r="J190" s="73">
        <v>68</v>
      </c>
      <c r="K190" s="73">
        <f t="shared" si="140"/>
        <v>66</v>
      </c>
      <c r="L190" s="73">
        <f t="shared" si="141"/>
        <v>44</v>
      </c>
      <c r="M190" s="73">
        <f t="shared" si="141"/>
        <v>44</v>
      </c>
      <c r="N190" s="73">
        <f t="shared" si="141"/>
        <v>44</v>
      </c>
      <c r="O190" s="73">
        <f t="shared" si="141"/>
        <v>44</v>
      </c>
      <c r="P190" s="78">
        <f t="shared" si="145"/>
        <v>242</v>
      </c>
      <c r="Q190" s="78">
        <f t="shared" si="143"/>
        <v>1892</v>
      </c>
      <c r="R190" s="74" t="s">
        <v>23</v>
      </c>
    </row>
    <row r="191" spans="1:18" ht="15.95" customHeight="1" x14ac:dyDescent="0.25">
      <c r="A191" s="47"/>
      <c r="B191" s="55"/>
      <c r="C191" s="9"/>
      <c r="D191" s="136"/>
      <c r="E191" s="56"/>
      <c r="F191" s="57"/>
      <c r="G191" s="72">
        <v>46196</v>
      </c>
      <c r="H191" s="73">
        <v>22</v>
      </c>
      <c r="I191" s="73"/>
      <c r="J191" s="73">
        <v>69</v>
      </c>
      <c r="K191" s="127">
        <f>22*3</f>
        <v>66</v>
      </c>
      <c r="L191" s="127">
        <f>22*2</f>
        <v>44</v>
      </c>
      <c r="M191" s="127">
        <f>22*2</f>
        <v>44</v>
      </c>
      <c r="N191" s="127">
        <f>22*2</f>
        <v>44</v>
      </c>
      <c r="O191" s="127">
        <f>22*2</f>
        <v>44</v>
      </c>
      <c r="P191" s="78">
        <f t="shared" ref="P191:P193" si="146">IF(G191="","",SUM(K191:O191))</f>
        <v>242</v>
      </c>
      <c r="Q191" s="78">
        <f t="shared" ref="Q191:Q193" si="147">IF(P191="","",Q190+P191)</f>
        <v>2134</v>
      </c>
      <c r="R191" s="74" t="s">
        <v>23</v>
      </c>
    </row>
    <row r="192" spans="1:18" ht="15.95" customHeight="1" x14ac:dyDescent="0.25">
      <c r="A192" s="47"/>
      <c r="B192" s="55"/>
      <c r="C192" s="9"/>
      <c r="D192" s="136"/>
      <c r="E192" s="56"/>
      <c r="F192" s="57"/>
      <c r="G192" s="72">
        <v>46196</v>
      </c>
      <c r="H192" s="73">
        <v>22</v>
      </c>
      <c r="I192" s="73"/>
      <c r="J192" s="73">
        <v>70</v>
      </c>
      <c r="K192" s="127">
        <f t="shared" ref="K192:K226" si="148">22*3</f>
        <v>66</v>
      </c>
      <c r="L192" s="127">
        <f t="shared" ref="L192:O208" si="149">22*2</f>
        <v>44</v>
      </c>
      <c r="M192" s="127">
        <f t="shared" si="149"/>
        <v>44</v>
      </c>
      <c r="N192" s="127">
        <f t="shared" si="149"/>
        <v>44</v>
      </c>
      <c r="O192" s="127">
        <f t="shared" si="149"/>
        <v>44</v>
      </c>
      <c r="P192" s="78">
        <f t="shared" si="146"/>
        <v>242</v>
      </c>
      <c r="Q192" s="78">
        <f t="shared" si="147"/>
        <v>2376</v>
      </c>
      <c r="R192" s="74" t="s">
        <v>23</v>
      </c>
    </row>
    <row r="193" spans="1:18" ht="15.95" customHeight="1" x14ac:dyDescent="0.25">
      <c r="A193" s="47"/>
      <c r="B193" s="55"/>
      <c r="C193" s="9"/>
      <c r="D193" s="136"/>
      <c r="E193" s="56"/>
      <c r="F193" s="57"/>
      <c r="G193" s="72">
        <v>46196</v>
      </c>
      <c r="H193" s="73">
        <v>22</v>
      </c>
      <c r="I193" s="73"/>
      <c r="J193" s="73">
        <v>71</v>
      </c>
      <c r="K193" s="127">
        <f t="shared" si="148"/>
        <v>66</v>
      </c>
      <c r="L193" s="127">
        <f t="shared" si="149"/>
        <v>44</v>
      </c>
      <c r="M193" s="127">
        <f t="shared" si="149"/>
        <v>44</v>
      </c>
      <c r="N193" s="127">
        <f t="shared" si="149"/>
        <v>44</v>
      </c>
      <c r="O193" s="127">
        <f t="shared" si="149"/>
        <v>44</v>
      </c>
      <c r="P193" s="78">
        <f t="shared" si="146"/>
        <v>242</v>
      </c>
      <c r="Q193" s="78">
        <f t="shared" si="147"/>
        <v>2618</v>
      </c>
      <c r="R193" s="74" t="s">
        <v>23</v>
      </c>
    </row>
    <row r="194" spans="1:18" ht="15.95" customHeight="1" x14ac:dyDescent="0.25">
      <c r="A194" s="47"/>
      <c r="B194" s="55"/>
      <c r="C194" s="9"/>
      <c r="D194" s="136"/>
      <c r="E194" s="56"/>
      <c r="F194" s="57"/>
      <c r="G194" s="72">
        <v>46196</v>
      </c>
      <c r="H194" s="73">
        <v>22</v>
      </c>
      <c r="I194" s="73"/>
      <c r="J194" s="73">
        <v>72</v>
      </c>
      <c r="K194" s="127">
        <f t="shared" si="148"/>
        <v>66</v>
      </c>
      <c r="L194" s="127">
        <f t="shared" si="149"/>
        <v>44</v>
      </c>
      <c r="M194" s="127">
        <f t="shared" si="149"/>
        <v>44</v>
      </c>
      <c r="N194" s="127">
        <f t="shared" si="149"/>
        <v>44</v>
      </c>
      <c r="O194" s="127">
        <f t="shared" si="149"/>
        <v>44</v>
      </c>
      <c r="P194" s="78">
        <f t="shared" ref="P194:P195" si="150">IF(G194="","",SUM(K194:O194))</f>
        <v>242</v>
      </c>
      <c r="Q194" s="78">
        <f t="shared" ref="Q194:Q195" si="151">IF(P194="","",Q193+P194)</f>
        <v>2860</v>
      </c>
      <c r="R194" s="74" t="s">
        <v>23</v>
      </c>
    </row>
    <row r="195" spans="1:18" ht="15.95" customHeight="1" x14ac:dyDescent="0.25">
      <c r="A195" s="47"/>
      <c r="B195" s="55"/>
      <c r="C195" s="9"/>
      <c r="D195" s="136"/>
      <c r="E195" s="56"/>
      <c r="F195" s="57"/>
      <c r="G195" s="72">
        <v>46196</v>
      </c>
      <c r="H195" s="73">
        <v>22</v>
      </c>
      <c r="I195" s="73"/>
      <c r="J195" s="73">
        <v>73</v>
      </c>
      <c r="K195" s="127">
        <f t="shared" si="148"/>
        <v>66</v>
      </c>
      <c r="L195" s="127">
        <f t="shared" si="149"/>
        <v>44</v>
      </c>
      <c r="M195" s="127">
        <f t="shared" si="149"/>
        <v>44</v>
      </c>
      <c r="N195" s="127">
        <f t="shared" si="149"/>
        <v>44</v>
      </c>
      <c r="O195" s="127">
        <f t="shared" si="149"/>
        <v>44</v>
      </c>
      <c r="P195" s="78">
        <f t="shared" si="150"/>
        <v>242</v>
      </c>
      <c r="Q195" s="78">
        <f t="shared" si="151"/>
        <v>3102</v>
      </c>
      <c r="R195" s="74" t="s">
        <v>23</v>
      </c>
    </row>
    <row r="196" spans="1:18" ht="15.95" customHeight="1" x14ac:dyDescent="0.25">
      <c r="A196" s="47"/>
      <c r="B196" s="55"/>
      <c r="C196" s="9"/>
      <c r="D196" s="136"/>
      <c r="E196" s="56"/>
      <c r="F196" s="57"/>
      <c r="G196" s="72">
        <v>46196</v>
      </c>
      <c r="H196" s="73">
        <v>22</v>
      </c>
      <c r="I196" s="73"/>
      <c r="J196" s="73">
        <v>74</v>
      </c>
      <c r="K196" s="127">
        <f t="shared" si="148"/>
        <v>66</v>
      </c>
      <c r="L196" s="127">
        <f t="shared" si="149"/>
        <v>44</v>
      </c>
      <c r="M196" s="127">
        <f t="shared" si="149"/>
        <v>44</v>
      </c>
      <c r="N196" s="127">
        <f t="shared" si="149"/>
        <v>44</v>
      </c>
      <c r="O196" s="127">
        <f t="shared" si="149"/>
        <v>44</v>
      </c>
      <c r="P196" s="78">
        <f t="shared" ref="P196:P197" si="152">IF(G196="","",SUM(K196:O196))</f>
        <v>242</v>
      </c>
      <c r="Q196" s="78">
        <f t="shared" ref="Q196:Q197" si="153">IF(P196="","",Q195+P196)</f>
        <v>3344</v>
      </c>
      <c r="R196" s="74" t="s">
        <v>23</v>
      </c>
    </row>
    <row r="197" spans="1:18" ht="15.95" customHeight="1" x14ac:dyDescent="0.25">
      <c r="A197" s="47"/>
      <c r="B197" s="55"/>
      <c r="C197" s="9"/>
      <c r="D197" s="136"/>
      <c r="E197" s="56"/>
      <c r="F197" s="57"/>
      <c r="G197" s="72">
        <v>46196</v>
      </c>
      <c r="H197" s="73">
        <v>22</v>
      </c>
      <c r="I197" s="73"/>
      <c r="J197" s="73">
        <v>75</v>
      </c>
      <c r="K197" s="127">
        <f t="shared" si="148"/>
        <v>66</v>
      </c>
      <c r="L197" s="127">
        <f t="shared" si="149"/>
        <v>44</v>
      </c>
      <c r="M197" s="127">
        <f t="shared" si="149"/>
        <v>44</v>
      </c>
      <c r="N197" s="127">
        <f t="shared" si="149"/>
        <v>44</v>
      </c>
      <c r="O197" s="127">
        <f t="shared" si="149"/>
        <v>44</v>
      </c>
      <c r="P197" s="78">
        <f t="shared" si="152"/>
        <v>242</v>
      </c>
      <c r="Q197" s="78">
        <f t="shared" si="153"/>
        <v>3586</v>
      </c>
      <c r="R197" s="74" t="s">
        <v>23</v>
      </c>
    </row>
    <row r="198" spans="1:18" ht="15.95" customHeight="1" x14ac:dyDescent="0.25">
      <c r="A198" s="47"/>
      <c r="B198" s="55"/>
      <c r="C198" s="9"/>
      <c r="D198" s="136"/>
      <c r="E198" s="56"/>
      <c r="F198" s="57"/>
      <c r="G198" s="72">
        <v>46196</v>
      </c>
      <c r="H198" s="73">
        <v>22</v>
      </c>
      <c r="I198" s="73"/>
      <c r="J198" s="73">
        <v>76</v>
      </c>
      <c r="K198" s="127">
        <f t="shared" si="148"/>
        <v>66</v>
      </c>
      <c r="L198" s="127">
        <f t="shared" si="149"/>
        <v>44</v>
      </c>
      <c r="M198" s="127">
        <f t="shared" si="149"/>
        <v>44</v>
      </c>
      <c r="N198" s="127">
        <f t="shared" si="149"/>
        <v>44</v>
      </c>
      <c r="O198" s="127">
        <f t="shared" si="149"/>
        <v>44</v>
      </c>
      <c r="P198" s="78">
        <f t="shared" ref="P198:P199" si="154">IF(G198="","",SUM(K198:O198))</f>
        <v>242</v>
      </c>
      <c r="Q198" s="78">
        <f t="shared" ref="Q198:Q199" si="155">IF(P198="","",Q197+P198)</f>
        <v>3828</v>
      </c>
      <c r="R198" s="74" t="s">
        <v>23</v>
      </c>
    </row>
    <row r="199" spans="1:18" ht="15.95" customHeight="1" x14ac:dyDescent="0.25">
      <c r="A199" s="47"/>
      <c r="B199" s="55"/>
      <c r="C199" s="9"/>
      <c r="D199" s="136"/>
      <c r="E199" s="56"/>
      <c r="F199" s="57"/>
      <c r="G199" s="72">
        <v>46197</v>
      </c>
      <c r="H199" s="73">
        <v>22</v>
      </c>
      <c r="I199" s="73"/>
      <c r="J199" s="73">
        <v>77</v>
      </c>
      <c r="K199" s="127">
        <f t="shared" si="148"/>
        <v>66</v>
      </c>
      <c r="L199" s="127">
        <f t="shared" si="149"/>
        <v>44</v>
      </c>
      <c r="M199" s="127">
        <f t="shared" si="149"/>
        <v>44</v>
      </c>
      <c r="N199" s="127">
        <f t="shared" si="149"/>
        <v>44</v>
      </c>
      <c r="O199" s="127">
        <f t="shared" si="149"/>
        <v>44</v>
      </c>
      <c r="P199" s="78">
        <f t="shared" si="154"/>
        <v>242</v>
      </c>
      <c r="Q199" s="78">
        <f t="shared" si="155"/>
        <v>4070</v>
      </c>
      <c r="R199" s="74" t="s">
        <v>23</v>
      </c>
    </row>
    <row r="200" spans="1:18" ht="15.95" customHeight="1" x14ac:dyDescent="0.25">
      <c r="A200" s="47"/>
      <c r="B200" s="55"/>
      <c r="C200" s="9"/>
      <c r="D200" s="136"/>
      <c r="E200" s="56"/>
      <c r="F200" s="57"/>
      <c r="G200" s="72">
        <v>46197</v>
      </c>
      <c r="H200" s="73">
        <v>22</v>
      </c>
      <c r="I200" s="73"/>
      <c r="J200" s="73">
        <v>78</v>
      </c>
      <c r="K200" s="127">
        <f t="shared" si="148"/>
        <v>66</v>
      </c>
      <c r="L200" s="127">
        <f t="shared" si="149"/>
        <v>44</v>
      </c>
      <c r="M200" s="127">
        <f t="shared" si="149"/>
        <v>44</v>
      </c>
      <c r="N200" s="127">
        <f t="shared" si="149"/>
        <v>44</v>
      </c>
      <c r="O200" s="127">
        <f t="shared" si="149"/>
        <v>44</v>
      </c>
      <c r="P200" s="78">
        <f t="shared" ref="P200:P203" si="156">IF(G200="","",SUM(K200:O200))</f>
        <v>242</v>
      </c>
      <c r="Q200" s="78">
        <f t="shared" ref="Q200:Q203" si="157">IF(P200="","",Q199+P200)</f>
        <v>4312</v>
      </c>
      <c r="R200" s="74" t="s">
        <v>23</v>
      </c>
    </row>
    <row r="201" spans="1:18" ht="15.95" customHeight="1" x14ac:dyDescent="0.25">
      <c r="A201" s="47"/>
      <c r="B201" s="55"/>
      <c r="C201" s="9"/>
      <c r="D201" s="136"/>
      <c r="E201" s="56"/>
      <c r="F201" s="57"/>
      <c r="G201" s="72">
        <v>46197</v>
      </c>
      <c r="H201" s="73">
        <v>22</v>
      </c>
      <c r="I201" s="73"/>
      <c r="J201" s="73">
        <v>79</v>
      </c>
      <c r="K201" s="127">
        <f t="shared" si="148"/>
        <v>66</v>
      </c>
      <c r="L201" s="127">
        <f t="shared" si="149"/>
        <v>44</v>
      </c>
      <c r="M201" s="127">
        <f t="shared" si="149"/>
        <v>44</v>
      </c>
      <c r="N201" s="127">
        <f t="shared" si="149"/>
        <v>44</v>
      </c>
      <c r="O201" s="127">
        <f t="shared" si="149"/>
        <v>44</v>
      </c>
      <c r="P201" s="78">
        <f t="shared" si="156"/>
        <v>242</v>
      </c>
      <c r="Q201" s="78">
        <f t="shared" si="157"/>
        <v>4554</v>
      </c>
      <c r="R201" s="74" t="s">
        <v>23</v>
      </c>
    </row>
    <row r="202" spans="1:18" ht="15.95" customHeight="1" x14ac:dyDescent="0.25">
      <c r="A202" s="47"/>
      <c r="B202" s="55"/>
      <c r="C202" s="9"/>
      <c r="D202" s="136"/>
      <c r="E202" s="56"/>
      <c r="F202" s="57"/>
      <c r="G202" s="72">
        <v>46197</v>
      </c>
      <c r="H202" s="73">
        <v>22</v>
      </c>
      <c r="I202" s="73"/>
      <c r="J202" s="73">
        <v>80</v>
      </c>
      <c r="K202" s="127">
        <f t="shared" si="148"/>
        <v>66</v>
      </c>
      <c r="L202" s="127">
        <f t="shared" si="149"/>
        <v>44</v>
      </c>
      <c r="M202" s="127">
        <f t="shared" si="149"/>
        <v>44</v>
      </c>
      <c r="N202" s="127">
        <f t="shared" si="149"/>
        <v>44</v>
      </c>
      <c r="O202" s="127">
        <f t="shared" si="149"/>
        <v>44</v>
      </c>
      <c r="P202" s="78">
        <f t="shared" si="156"/>
        <v>242</v>
      </c>
      <c r="Q202" s="78">
        <f t="shared" si="157"/>
        <v>4796</v>
      </c>
      <c r="R202" s="74" t="s">
        <v>23</v>
      </c>
    </row>
    <row r="203" spans="1:18" ht="15.95" customHeight="1" x14ac:dyDescent="0.25">
      <c r="A203" s="47"/>
      <c r="B203" s="55"/>
      <c r="C203" s="9"/>
      <c r="D203" s="136"/>
      <c r="E203" s="56"/>
      <c r="F203" s="57"/>
      <c r="G203" s="72">
        <v>46197</v>
      </c>
      <c r="H203" s="73">
        <v>22</v>
      </c>
      <c r="I203" s="73"/>
      <c r="J203" s="73">
        <v>81</v>
      </c>
      <c r="K203" s="127">
        <f t="shared" si="148"/>
        <v>66</v>
      </c>
      <c r="L203" s="127">
        <f t="shared" si="149"/>
        <v>44</v>
      </c>
      <c r="M203" s="127">
        <f t="shared" si="149"/>
        <v>44</v>
      </c>
      <c r="N203" s="127">
        <f t="shared" si="149"/>
        <v>44</v>
      </c>
      <c r="O203" s="127">
        <f t="shared" si="149"/>
        <v>44</v>
      </c>
      <c r="P203" s="78">
        <f t="shared" si="156"/>
        <v>242</v>
      </c>
      <c r="Q203" s="78">
        <f t="shared" si="157"/>
        <v>5038</v>
      </c>
      <c r="R203" s="74" t="s">
        <v>23</v>
      </c>
    </row>
    <row r="204" spans="1:18" ht="15.95" customHeight="1" x14ac:dyDescent="0.25">
      <c r="A204" s="47"/>
      <c r="B204" s="55"/>
      <c r="C204" s="9"/>
      <c r="D204" s="136"/>
      <c r="E204" s="56"/>
      <c r="F204" s="57"/>
      <c r="G204" s="72">
        <v>46197</v>
      </c>
      <c r="H204" s="73">
        <v>22</v>
      </c>
      <c r="I204" s="73"/>
      <c r="J204" s="73">
        <v>82</v>
      </c>
      <c r="K204" s="127">
        <f t="shared" si="148"/>
        <v>66</v>
      </c>
      <c r="L204" s="127">
        <f t="shared" si="149"/>
        <v>44</v>
      </c>
      <c r="M204" s="127">
        <f t="shared" si="149"/>
        <v>44</v>
      </c>
      <c r="N204" s="127">
        <f t="shared" si="149"/>
        <v>44</v>
      </c>
      <c r="O204" s="127">
        <f t="shared" si="149"/>
        <v>44</v>
      </c>
      <c r="P204" s="78">
        <f t="shared" ref="P204:P206" si="158">IF(G204="","",SUM(K204:O204))</f>
        <v>242</v>
      </c>
      <c r="Q204" s="78">
        <f t="shared" ref="Q204:Q206" si="159">IF(P204="","",Q203+P204)</f>
        <v>5280</v>
      </c>
      <c r="R204" s="74" t="s">
        <v>23</v>
      </c>
    </row>
    <row r="205" spans="1:18" ht="15.95" customHeight="1" x14ac:dyDescent="0.25">
      <c r="A205" s="47"/>
      <c r="B205" s="55"/>
      <c r="C205" s="9"/>
      <c r="D205" s="136"/>
      <c r="E205" s="56"/>
      <c r="F205" s="57"/>
      <c r="G205" s="72">
        <v>46197</v>
      </c>
      <c r="H205" s="73">
        <v>22</v>
      </c>
      <c r="I205" s="73"/>
      <c r="J205" s="73">
        <v>83</v>
      </c>
      <c r="K205" s="127">
        <f t="shared" si="148"/>
        <v>66</v>
      </c>
      <c r="L205" s="127">
        <f t="shared" si="149"/>
        <v>44</v>
      </c>
      <c r="M205" s="127">
        <f t="shared" si="149"/>
        <v>44</v>
      </c>
      <c r="N205" s="127">
        <f t="shared" si="149"/>
        <v>44</v>
      </c>
      <c r="O205" s="127">
        <f t="shared" si="149"/>
        <v>44</v>
      </c>
      <c r="P205" s="78">
        <f t="shared" si="158"/>
        <v>242</v>
      </c>
      <c r="Q205" s="78">
        <f t="shared" si="159"/>
        <v>5522</v>
      </c>
      <c r="R205" s="74" t="s">
        <v>23</v>
      </c>
    </row>
    <row r="206" spans="1:18" ht="15.95" customHeight="1" x14ac:dyDescent="0.25">
      <c r="A206" s="47"/>
      <c r="B206" s="55"/>
      <c r="C206" s="9"/>
      <c r="D206" s="136"/>
      <c r="E206" s="56"/>
      <c r="F206" s="57"/>
      <c r="G206" s="72">
        <v>46197</v>
      </c>
      <c r="H206" s="73">
        <v>22</v>
      </c>
      <c r="I206" s="73"/>
      <c r="J206" s="73">
        <v>84</v>
      </c>
      <c r="K206" s="127">
        <f t="shared" si="148"/>
        <v>66</v>
      </c>
      <c r="L206" s="127">
        <f t="shared" si="149"/>
        <v>44</v>
      </c>
      <c r="M206" s="127">
        <f t="shared" si="149"/>
        <v>44</v>
      </c>
      <c r="N206" s="127">
        <f t="shared" si="149"/>
        <v>44</v>
      </c>
      <c r="O206" s="127">
        <f t="shared" si="149"/>
        <v>44</v>
      </c>
      <c r="P206" s="78">
        <f t="shared" si="158"/>
        <v>242</v>
      </c>
      <c r="Q206" s="78">
        <f t="shared" si="159"/>
        <v>5764</v>
      </c>
      <c r="R206" s="74" t="s">
        <v>23</v>
      </c>
    </row>
    <row r="207" spans="1:18" ht="15.95" customHeight="1" x14ac:dyDescent="0.25">
      <c r="A207" s="47"/>
      <c r="B207" s="55"/>
      <c r="C207" s="9"/>
      <c r="D207" s="136"/>
      <c r="E207" s="56"/>
      <c r="F207" s="57"/>
      <c r="G207" s="72">
        <v>46197</v>
      </c>
      <c r="H207" s="73">
        <v>22</v>
      </c>
      <c r="I207" s="73"/>
      <c r="J207" s="73">
        <v>85</v>
      </c>
      <c r="K207" s="127">
        <f t="shared" si="148"/>
        <v>66</v>
      </c>
      <c r="L207" s="127">
        <f t="shared" si="149"/>
        <v>44</v>
      </c>
      <c r="M207" s="127">
        <f t="shared" si="149"/>
        <v>44</v>
      </c>
      <c r="N207" s="127">
        <f t="shared" si="149"/>
        <v>44</v>
      </c>
      <c r="O207" s="127">
        <f t="shared" si="149"/>
        <v>44</v>
      </c>
      <c r="P207" s="78">
        <f t="shared" ref="P207:P208" si="160">IF(G207="","",SUM(K207:O207))</f>
        <v>242</v>
      </c>
      <c r="Q207" s="78">
        <f t="shared" ref="Q207:Q208" si="161">IF(P207="","",Q206+P207)</f>
        <v>6006</v>
      </c>
      <c r="R207" s="74" t="s">
        <v>23</v>
      </c>
    </row>
    <row r="208" spans="1:18" ht="15.95" customHeight="1" x14ac:dyDescent="0.25">
      <c r="A208" s="47"/>
      <c r="B208" s="55"/>
      <c r="C208" s="9"/>
      <c r="D208" s="136"/>
      <c r="E208" s="56"/>
      <c r="F208" s="57"/>
      <c r="G208" s="72">
        <v>46198</v>
      </c>
      <c r="H208" s="73">
        <v>22</v>
      </c>
      <c r="I208" s="73"/>
      <c r="J208" s="73">
        <v>86</v>
      </c>
      <c r="K208" s="127">
        <f t="shared" si="148"/>
        <v>66</v>
      </c>
      <c r="L208" s="127">
        <f t="shared" si="149"/>
        <v>44</v>
      </c>
      <c r="M208" s="127">
        <f t="shared" si="149"/>
        <v>44</v>
      </c>
      <c r="N208" s="127">
        <f t="shared" si="149"/>
        <v>44</v>
      </c>
      <c r="O208" s="127">
        <f t="shared" si="149"/>
        <v>44</v>
      </c>
      <c r="P208" s="78">
        <f t="shared" si="160"/>
        <v>242</v>
      </c>
      <c r="Q208" s="78">
        <f t="shared" si="161"/>
        <v>6248</v>
      </c>
      <c r="R208" s="74" t="s">
        <v>23</v>
      </c>
    </row>
    <row r="209" spans="1:18" ht="15.95" customHeight="1" x14ac:dyDescent="0.25">
      <c r="A209" s="47"/>
      <c r="B209" s="55"/>
      <c r="C209" s="9"/>
      <c r="D209" s="136"/>
      <c r="E209" s="56"/>
      <c r="F209" s="57"/>
      <c r="G209" s="72">
        <v>46198</v>
      </c>
      <c r="H209" s="73">
        <v>22</v>
      </c>
      <c r="I209" s="73"/>
      <c r="J209" s="73">
        <v>87</v>
      </c>
      <c r="K209" s="127">
        <f t="shared" si="148"/>
        <v>66</v>
      </c>
      <c r="L209" s="127">
        <f t="shared" ref="L209:O226" si="162">22*2</f>
        <v>44</v>
      </c>
      <c r="M209" s="127">
        <f t="shared" si="162"/>
        <v>44</v>
      </c>
      <c r="N209" s="127">
        <f t="shared" si="162"/>
        <v>44</v>
      </c>
      <c r="O209" s="127">
        <f t="shared" si="162"/>
        <v>44</v>
      </c>
      <c r="P209" s="78">
        <f t="shared" ref="P209:P210" si="163">IF(G209="","",SUM(K209:O209))</f>
        <v>242</v>
      </c>
      <c r="Q209" s="78">
        <f t="shared" ref="Q209:Q210" si="164">IF(P209="","",Q208+P209)</f>
        <v>6490</v>
      </c>
      <c r="R209" s="74" t="s">
        <v>23</v>
      </c>
    </row>
    <row r="210" spans="1:18" ht="15.95" customHeight="1" x14ac:dyDescent="0.25">
      <c r="A210" s="47"/>
      <c r="B210" s="55"/>
      <c r="C210" s="9"/>
      <c r="D210" s="136"/>
      <c r="E210" s="56"/>
      <c r="F210" s="57"/>
      <c r="G210" s="72">
        <v>46198</v>
      </c>
      <c r="H210" s="73">
        <v>22</v>
      </c>
      <c r="I210" s="73"/>
      <c r="J210" s="73">
        <v>88</v>
      </c>
      <c r="K210" s="127">
        <f t="shared" si="148"/>
        <v>66</v>
      </c>
      <c r="L210" s="127">
        <f t="shared" si="162"/>
        <v>44</v>
      </c>
      <c r="M210" s="127">
        <f t="shared" si="162"/>
        <v>44</v>
      </c>
      <c r="N210" s="127">
        <f t="shared" si="162"/>
        <v>44</v>
      </c>
      <c r="O210" s="127">
        <f t="shared" si="162"/>
        <v>44</v>
      </c>
      <c r="P210" s="78">
        <f t="shared" si="163"/>
        <v>242</v>
      </c>
      <c r="Q210" s="78">
        <f t="shared" si="164"/>
        <v>6732</v>
      </c>
      <c r="R210" s="74" t="s">
        <v>23</v>
      </c>
    </row>
    <row r="211" spans="1:18" ht="15.95" customHeight="1" x14ac:dyDescent="0.25">
      <c r="A211" s="47"/>
      <c r="B211" s="55"/>
      <c r="C211" s="9"/>
      <c r="D211" s="136"/>
      <c r="E211" s="56"/>
      <c r="F211" s="57"/>
      <c r="G211" s="72">
        <v>46198</v>
      </c>
      <c r="H211" s="73">
        <v>22</v>
      </c>
      <c r="I211" s="73"/>
      <c r="J211" s="73">
        <v>89</v>
      </c>
      <c r="K211" s="127">
        <f t="shared" si="148"/>
        <v>66</v>
      </c>
      <c r="L211" s="127">
        <f t="shared" si="162"/>
        <v>44</v>
      </c>
      <c r="M211" s="127">
        <f t="shared" si="162"/>
        <v>44</v>
      </c>
      <c r="N211" s="127">
        <f t="shared" si="162"/>
        <v>44</v>
      </c>
      <c r="O211" s="127">
        <f t="shared" si="162"/>
        <v>44</v>
      </c>
      <c r="P211" s="78">
        <f t="shared" ref="P211:P212" si="165">IF(G211="","",SUM(K211:O211))</f>
        <v>242</v>
      </c>
      <c r="Q211" s="78">
        <f t="shared" ref="Q211:Q212" si="166">IF(P211="","",Q210+P211)</f>
        <v>6974</v>
      </c>
      <c r="R211" s="74" t="s">
        <v>23</v>
      </c>
    </row>
    <row r="212" spans="1:18" ht="15.95" customHeight="1" x14ac:dyDescent="0.25">
      <c r="A212" s="47"/>
      <c r="B212" s="55"/>
      <c r="C212" s="9"/>
      <c r="D212" s="136"/>
      <c r="E212" s="56"/>
      <c r="F212" s="57"/>
      <c r="G212" s="72">
        <v>46198</v>
      </c>
      <c r="H212" s="73">
        <v>22</v>
      </c>
      <c r="I212" s="73"/>
      <c r="J212" s="73">
        <v>90</v>
      </c>
      <c r="K212" s="127">
        <f t="shared" si="148"/>
        <v>66</v>
      </c>
      <c r="L212" s="127">
        <f t="shared" si="162"/>
        <v>44</v>
      </c>
      <c r="M212" s="127">
        <f t="shared" si="162"/>
        <v>44</v>
      </c>
      <c r="N212" s="127">
        <f t="shared" si="162"/>
        <v>44</v>
      </c>
      <c r="O212" s="127">
        <f t="shared" si="162"/>
        <v>44</v>
      </c>
      <c r="P212" s="78">
        <f t="shared" si="165"/>
        <v>242</v>
      </c>
      <c r="Q212" s="78">
        <f t="shared" si="166"/>
        <v>7216</v>
      </c>
      <c r="R212" s="74" t="s">
        <v>23</v>
      </c>
    </row>
    <row r="213" spans="1:18" ht="15.95" customHeight="1" x14ac:dyDescent="0.25">
      <c r="A213" s="47"/>
      <c r="B213" s="55"/>
      <c r="C213" s="9"/>
      <c r="D213" s="136"/>
      <c r="E213" s="56"/>
      <c r="F213" s="57"/>
      <c r="G213" s="72">
        <v>46198</v>
      </c>
      <c r="H213" s="73">
        <v>22</v>
      </c>
      <c r="I213" s="73"/>
      <c r="J213" s="73">
        <v>91</v>
      </c>
      <c r="K213" s="127">
        <f t="shared" si="148"/>
        <v>66</v>
      </c>
      <c r="L213" s="127">
        <f t="shared" si="162"/>
        <v>44</v>
      </c>
      <c r="M213" s="127">
        <f t="shared" si="162"/>
        <v>44</v>
      </c>
      <c r="N213" s="127">
        <f t="shared" si="162"/>
        <v>44</v>
      </c>
      <c r="O213" s="127">
        <f t="shared" si="162"/>
        <v>44</v>
      </c>
      <c r="P213" s="78">
        <f t="shared" ref="P213" si="167">IF(G213="","",SUM(K213:O213))</f>
        <v>242</v>
      </c>
      <c r="Q213" s="78">
        <f t="shared" ref="Q213" si="168">IF(P213="","",Q212+P213)</f>
        <v>7458</v>
      </c>
      <c r="R213" s="74" t="s">
        <v>23</v>
      </c>
    </row>
    <row r="214" spans="1:18" ht="15.95" customHeight="1" x14ac:dyDescent="0.25">
      <c r="A214" s="47"/>
      <c r="B214" s="55"/>
      <c r="C214" s="9"/>
      <c r="D214" s="136"/>
      <c r="E214" s="56"/>
      <c r="F214" s="57"/>
      <c r="G214" s="72">
        <v>46198</v>
      </c>
      <c r="H214" s="73">
        <v>22</v>
      </c>
      <c r="I214" s="73"/>
      <c r="J214" s="73">
        <v>92</v>
      </c>
      <c r="K214" s="127">
        <f t="shared" si="148"/>
        <v>66</v>
      </c>
      <c r="L214" s="127">
        <f t="shared" si="162"/>
        <v>44</v>
      </c>
      <c r="M214" s="127">
        <f t="shared" si="162"/>
        <v>44</v>
      </c>
      <c r="N214" s="127">
        <f t="shared" si="162"/>
        <v>44</v>
      </c>
      <c r="O214" s="127">
        <f t="shared" si="162"/>
        <v>44</v>
      </c>
      <c r="P214" s="78">
        <f t="shared" ref="P214:P215" si="169">IF(G214="","",SUM(K214:O214))</f>
        <v>242</v>
      </c>
      <c r="Q214" s="78">
        <f t="shared" ref="Q214:Q215" si="170">IF(P214="","",Q213+P214)</f>
        <v>7700</v>
      </c>
      <c r="R214" s="74" t="s">
        <v>23</v>
      </c>
    </row>
    <row r="215" spans="1:18" ht="15.95" customHeight="1" x14ac:dyDescent="0.25">
      <c r="A215" s="47"/>
      <c r="B215" s="55"/>
      <c r="C215" s="9"/>
      <c r="D215" s="136"/>
      <c r="E215" s="56"/>
      <c r="F215" s="57"/>
      <c r="G215" s="72">
        <v>46200</v>
      </c>
      <c r="H215" s="73">
        <v>22</v>
      </c>
      <c r="I215" s="73"/>
      <c r="J215" s="73">
        <v>93</v>
      </c>
      <c r="K215" s="127">
        <f t="shared" si="148"/>
        <v>66</v>
      </c>
      <c r="L215" s="127">
        <f t="shared" si="162"/>
        <v>44</v>
      </c>
      <c r="M215" s="127">
        <f t="shared" si="162"/>
        <v>44</v>
      </c>
      <c r="N215" s="127">
        <f t="shared" si="162"/>
        <v>44</v>
      </c>
      <c r="O215" s="127">
        <f t="shared" si="162"/>
        <v>44</v>
      </c>
      <c r="P215" s="78">
        <f t="shared" si="169"/>
        <v>242</v>
      </c>
      <c r="Q215" s="78">
        <f t="shared" si="170"/>
        <v>7942</v>
      </c>
      <c r="R215" s="74" t="s">
        <v>23</v>
      </c>
    </row>
    <row r="216" spans="1:18" ht="15.95" customHeight="1" x14ac:dyDescent="0.25">
      <c r="A216" s="47"/>
      <c r="B216" s="55"/>
      <c r="C216" s="9"/>
      <c r="D216" s="136"/>
      <c r="E216" s="56"/>
      <c r="F216" s="57"/>
      <c r="G216" s="72">
        <v>46200</v>
      </c>
      <c r="H216" s="73">
        <v>22</v>
      </c>
      <c r="I216" s="73"/>
      <c r="J216" s="73">
        <v>94</v>
      </c>
      <c r="K216" s="127">
        <f t="shared" si="148"/>
        <v>66</v>
      </c>
      <c r="L216" s="127">
        <f t="shared" si="162"/>
        <v>44</v>
      </c>
      <c r="M216" s="127">
        <f t="shared" si="162"/>
        <v>44</v>
      </c>
      <c r="N216" s="127">
        <f t="shared" si="162"/>
        <v>44</v>
      </c>
      <c r="O216" s="127">
        <f t="shared" si="162"/>
        <v>44</v>
      </c>
      <c r="P216" s="78">
        <f t="shared" ref="P216:P217" si="171">IF(G216="","",SUM(K216:O216))</f>
        <v>242</v>
      </c>
      <c r="Q216" s="78">
        <f t="shared" ref="Q216:Q217" si="172">IF(P216="","",Q215+P216)</f>
        <v>8184</v>
      </c>
      <c r="R216" s="74" t="s">
        <v>23</v>
      </c>
    </row>
    <row r="217" spans="1:18" ht="15.95" customHeight="1" x14ac:dyDescent="0.25">
      <c r="A217" s="47"/>
      <c r="B217" s="55"/>
      <c r="C217" s="9"/>
      <c r="D217" s="136"/>
      <c r="E217" s="56"/>
      <c r="F217" s="57"/>
      <c r="G217" s="72">
        <v>46200</v>
      </c>
      <c r="H217" s="73">
        <v>22</v>
      </c>
      <c r="I217" s="73"/>
      <c r="J217" s="73">
        <v>95</v>
      </c>
      <c r="K217" s="127">
        <f t="shared" si="148"/>
        <v>66</v>
      </c>
      <c r="L217" s="127">
        <f t="shared" si="162"/>
        <v>44</v>
      </c>
      <c r="M217" s="127">
        <f t="shared" si="162"/>
        <v>44</v>
      </c>
      <c r="N217" s="127">
        <f t="shared" si="162"/>
        <v>44</v>
      </c>
      <c r="O217" s="127">
        <f t="shared" si="162"/>
        <v>44</v>
      </c>
      <c r="P217" s="78">
        <f t="shared" si="171"/>
        <v>242</v>
      </c>
      <c r="Q217" s="78">
        <f t="shared" si="172"/>
        <v>8426</v>
      </c>
      <c r="R217" s="74" t="s">
        <v>23</v>
      </c>
    </row>
    <row r="218" spans="1:18" ht="15.95" customHeight="1" x14ac:dyDescent="0.25">
      <c r="A218" s="47"/>
      <c r="B218" s="55"/>
      <c r="C218" s="9"/>
      <c r="D218" s="136"/>
      <c r="E218" s="56"/>
      <c r="F218" s="57"/>
      <c r="G218" s="72">
        <v>46200</v>
      </c>
      <c r="H218" s="73">
        <v>22</v>
      </c>
      <c r="I218" s="73"/>
      <c r="J218" s="73">
        <v>96</v>
      </c>
      <c r="K218" s="127">
        <f t="shared" si="148"/>
        <v>66</v>
      </c>
      <c r="L218" s="127">
        <f t="shared" si="162"/>
        <v>44</v>
      </c>
      <c r="M218" s="127">
        <f t="shared" si="162"/>
        <v>44</v>
      </c>
      <c r="N218" s="127">
        <f t="shared" si="162"/>
        <v>44</v>
      </c>
      <c r="O218" s="127">
        <f t="shared" si="162"/>
        <v>44</v>
      </c>
      <c r="P218" s="78">
        <f t="shared" ref="P218:P219" si="173">IF(G218="","",SUM(K218:O218))</f>
        <v>242</v>
      </c>
      <c r="Q218" s="78">
        <f t="shared" ref="Q218:Q219" si="174">IF(P218="","",Q217+P218)</f>
        <v>8668</v>
      </c>
      <c r="R218" s="74" t="s">
        <v>23</v>
      </c>
    </row>
    <row r="219" spans="1:18" ht="15.95" customHeight="1" x14ac:dyDescent="0.25">
      <c r="A219" s="47"/>
      <c r="B219" s="55"/>
      <c r="C219" s="9"/>
      <c r="D219" s="136"/>
      <c r="E219" s="56"/>
      <c r="F219" s="57"/>
      <c r="G219" s="72">
        <v>46200</v>
      </c>
      <c r="H219" s="73">
        <v>22</v>
      </c>
      <c r="I219" s="73"/>
      <c r="J219" s="73">
        <v>97</v>
      </c>
      <c r="K219" s="127">
        <f t="shared" si="148"/>
        <v>66</v>
      </c>
      <c r="L219" s="127">
        <f t="shared" si="162"/>
        <v>44</v>
      </c>
      <c r="M219" s="127">
        <f t="shared" si="162"/>
        <v>44</v>
      </c>
      <c r="N219" s="127">
        <f t="shared" si="162"/>
        <v>44</v>
      </c>
      <c r="O219" s="127">
        <f t="shared" si="162"/>
        <v>44</v>
      </c>
      <c r="P219" s="78">
        <f t="shared" si="173"/>
        <v>242</v>
      </c>
      <c r="Q219" s="78">
        <f t="shared" si="174"/>
        <v>8910</v>
      </c>
      <c r="R219" s="74" t="s">
        <v>23</v>
      </c>
    </row>
    <row r="220" spans="1:18" ht="15.95" customHeight="1" x14ac:dyDescent="0.25">
      <c r="A220" s="47"/>
      <c r="B220" s="55"/>
      <c r="C220" s="9"/>
      <c r="D220" s="136"/>
      <c r="E220" s="56"/>
      <c r="F220" s="57"/>
      <c r="G220" s="72">
        <v>46200</v>
      </c>
      <c r="H220" s="73">
        <v>22</v>
      </c>
      <c r="I220" s="73"/>
      <c r="J220" s="73">
        <v>98</v>
      </c>
      <c r="K220" s="127">
        <f t="shared" si="148"/>
        <v>66</v>
      </c>
      <c r="L220" s="127">
        <f t="shared" si="162"/>
        <v>44</v>
      </c>
      <c r="M220" s="127">
        <f t="shared" si="162"/>
        <v>44</v>
      </c>
      <c r="N220" s="127">
        <f t="shared" si="162"/>
        <v>44</v>
      </c>
      <c r="O220" s="127">
        <f t="shared" si="162"/>
        <v>44</v>
      </c>
      <c r="P220" s="78">
        <f t="shared" ref="P220:P221" si="175">IF(G220="","",SUM(K220:O220))</f>
        <v>242</v>
      </c>
      <c r="Q220" s="78">
        <f t="shared" ref="Q220:Q221" si="176">IF(P220="","",Q219+P220)</f>
        <v>9152</v>
      </c>
      <c r="R220" s="74" t="s">
        <v>23</v>
      </c>
    </row>
    <row r="221" spans="1:18" ht="15.95" customHeight="1" x14ac:dyDescent="0.25">
      <c r="A221" s="47"/>
      <c r="B221" s="55"/>
      <c r="C221" s="9"/>
      <c r="D221" s="136"/>
      <c r="E221" s="56"/>
      <c r="F221" s="57"/>
      <c r="G221" s="72">
        <v>46200</v>
      </c>
      <c r="H221" s="73">
        <v>22</v>
      </c>
      <c r="I221" s="73"/>
      <c r="J221" s="73">
        <v>99</v>
      </c>
      <c r="K221" s="127">
        <f t="shared" si="148"/>
        <v>66</v>
      </c>
      <c r="L221" s="127">
        <f t="shared" si="162"/>
        <v>44</v>
      </c>
      <c r="M221" s="127">
        <f t="shared" si="162"/>
        <v>44</v>
      </c>
      <c r="N221" s="127">
        <f t="shared" si="162"/>
        <v>44</v>
      </c>
      <c r="O221" s="127">
        <f t="shared" si="162"/>
        <v>44</v>
      </c>
      <c r="P221" s="78">
        <f t="shared" si="175"/>
        <v>242</v>
      </c>
      <c r="Q221" s="78">
        <f t="shared" si="176"/>
        <v>9394</v>
      </c>
      <c r="R221" s="74" t="s">
        <v>23</v>
      </c>
    </row>
    <row r="222" spans="1:18" ht="15.95" customHeight="1" x14ac:dyDescent="0.25">
      <c r="A222" s="47"/>
      <c r="B222" s="55"/>
      <c r="C222" s="9"/>
      <c r="D222" s="136"/>
      <c r="E222" s="56"/>
      <c r="F222" s="57"/>
      <c r="G222" s="118">
        <v>46201</v>
      </c>
      <c r="H222" s="119">
        <v>22</v>
      </c>
      <c r="I222" s="119"/>
      <c r="J222" s="119">
        <v>1</v>
      </c>
      <c r="K222" s="125">
        <f t="shared" si="148"/>
        <v>66</v>
      </c>
      <c r="L222" s="125">
        <f t="shared" si="162"/>
        <v>44</v>
      </c>
      <c r="M222" s="125">
        <f t="shared" si="162"/>
        <v>44</v>
      </c>
      <c r="N222" s="125">
        <f t="shared" si="162"/>
        <v>44</v>
      </c>
      <c r="O222" s="125">
        <f t="shared" si="162"/>
        <v>44</v>
      </c>
      <c r="P222" s="120">
        <f t="shared" ref="P222:P223" si="177">IF(G222="","",SUM(K222:O222))</f>
        <v>242</v>
      </c>
      <c r="Q222" s="120">
        <f t="shared" ref="Q222:Q223" si="178">IF(P222="","",Q221+P222)</f>
        <v>9636</v>
      </c>
      <c r="R222" s="121" t="s">
        <v>23</v>
      </c>
    </row>
    <row r="223" spans="1:18" ht="15.95" customHeight="1" x14ac:dyDescent="0.25">
      <c r="A223" s="47"/>
      <c r="B223" s="55"/>
      <c r="C223" s="9"/>
      <c r="D223" s="136"/>
      <c r="E223" s="56"/>
      <c r="F223" s="57"/>
      <c r="G223" s="118">
        <v>46201</v>
      </c>
      <c r="H223" s="119">
        <v>21</v>
      </c>
      <c r="I223" s="119"/>
      <c r="J223" s="119">
        <v>2</v>
      </c>
      <c r="K223" s="125">
        <f>21*3</f>
        <v>63</v>
      </c>
      <c r="L223" s="125">
        <f>21*2</f>
        <v>42</v>
      </c>
      <c r="M223" s="125">
        <f>21*2</f>
        <v>42</v>
      </c>
      <c r="N223" s="125">
        <f>21*2</f>
        <v>42</v>
      </c>
      <c r="O223" s="125">
        <f>21*2</f>
        <v>42</v>
      </c>
      <c r="P223" s="120">
        <f t="shared" si="177"/>
        <v>231</v>
      </c>
      <c r="Q223" s="120">
        <f t="shared" si="178"/>
        <v>9867</v>
      </c>
      <c r="R223" s="121" t="s">
        <v>23</v>
      </c>
    </row>
    <row r="224" spans="1:18" ht="15.95" customHeight="1" x14ac:dyDescent="0.25">
      <c r="A224" s="47"/>
      <c r="B224" s="55"/>
      <c r="C224" s="9"/>
      <c r="D224" s="136"/>
      <c r="E224" s="56"/>
      <c r="F224" s="57"/>
      <c r="G224" s="118">
        <v>46201</v>
      </c>
      <c r="H224" s="119">
        <v>22</v>
      </c>
      <c r="I224" s="119"/>
      <c r="J224" s="119">
        <v>3</v>
      </c>
      <c r="K224" s="125">
        <f t="shared" si="148"/>
        <v>66</v>
      </c>
      <c r="L224" s="125">
        <f t="shared" si="162"/>
        <v>44</v>
      </c>
      <c r="M224" s="125">
        <f t="shared" si="162"/>
        <v>44</v>
      </c>
      <c r="N224" s="125">
        <f t="shared" si="162"/>
        <v>44</v>
      </c>
      <c r="O224" s="125">
        <f t="shared" si="162"/>
        <v>44</v>
      </c>
      <c r="P224" s="120">
        <f t="shared" ref="P224" si="179">IF(G224="","",SUM(K224:O224))</f>
        <v>242</v>
      </c>
      <c r="Q224" s="120">
        <f t="shared" ref="Q224" si="180">IF(P224="","",Q223+P224)</f>
        <v>10109</v>
      </c>
      <c r="R224" s="121" t="s">
        <v>23</v>
      </c>
    </row>
    <row r="225" spans="1:18" ht="15.95" customHeight="1" x14ac:dyDescent="0.25">
      <c r="A225" s="47"/>
      <c r="B225" s="55"/>
      <c r="C225" s="9"/>
      <c r="D225" s="136"/>
      <c r="E225" s="56"/>
      <c r="F225" s="57"/>
      <c r="G225" s="118">
        <v>46201</v>
      </c>
      <c r="H225" s="119">
        <v>22</v>
      </c>
      <c r="I225" s="119"/>
      <c r="J225" s="119">
        <v>4</v>
      </c>
      <c r="K225" s="125">
        <f t="shared" si="148"/>
        <v>66</v>
      </c>
      <c r="L225" s="125">
        <f t="shared" si="162"/>
        <v>44</v>
      </c>
      <c r="M225" s="125">
        <f t="shared" si="162"/>
        <v>44</v>
      </c>
      <c r="N225" s="125">
        <f t="shared" si="162"/>
        <v>44</v>
      </c>
      <c r="O225" s="125">
        <f t="shared" si="162"/>
        <v>44</v>
      </c>
      <c r="P225" s="120">
        <f t="shared" ref="P225:P226" si="181">IF(G225="","",SUM(K225:O225))</f>
        <v>242</v>
      </c>
      <c r="Q225" s="120">
        <f t="shared" ref="Q225:Q226" si="182">IF(P225="","",Q224+P225)</f>
        <v>10351</v>
      </c>
      <c r="R225" s="121" t="s">
        <v>23</v>
      </c>
    </row>
    <row r="226" spans="1:18" ht="15.95" customHeight="1" x14ac:dyDescent="0.25">
      <c r="A226" s="47"/>
      <c r="B226" s="55"/>
      <c r="C226" s="9"/>
      <c r="D226" s="136"/>
      <c r="E226" s="56"/>
      <c r="F226" s="57"/>
      <c r="G226" s="118">
        <v>46201</v>
      </c>
      <c r="H226" s="119">
        <v>22</v>
      </c>
      <c r="I226" s="119"/>
      <c r="J226" s="119">
        <v>5</v>
      </c>
      <c r="K226" s="125">
        <f t="shared" si="148"/>
        <v>66</v>
      </c>
      <c r="L226" s="125">
        <f t="shared" si="162"/>
        <v>44</v>
      </c>
      <c r="M226" s="125">
        <f t="shared" si="162"/>
        <v>44</v>
      </c>
      <c r="N226" s="125">
        <f t="shared" si="162"/>
        <v>44</v>
      </c>
      <c r="O226" s="125">
        <f t="shared" si="162"/>
        <v>44</v>
      </c>
      <c r="P226" s="120">
        <f t="shared" si="181"/>
        <v>242</v>
      </c>
      <c r="Q226" s="120">
        <f t="shared" si="182"/>
        <v>10593</v>
      </c>
      <c r="R226" s="121" t="s">
        <v>23</v>
      </c>
    </row>
    <row r="227" spans="1:18" ht="15.95" customHeight="1" x14ac:dyDescent="0.25">
      <c r="A227" s="47"/>
      <c r="B227" s="55"/>
      <c r="C227" s="9"/>
      <c r="D227" s="136"/>
      <c r="E227" s="56"/>
      <c r="F227" s="57"/>
      <c r="G227" s="118"/>
      <c r="H227" s="119"/>
      <c r="I227" s="119"/>
      <c r="J227" s="119"/>
      <c r="K227" s="125"/>
      <c r="L227" s="125"/>
      <c r="M227" s="125"/>
      <c r="N227" s="125"/>
      <c r="O227" s="125"/>
      <c r="P227" s="120" t="str">
        <f t="shared" ref="P227:P229" si="183">IF(G227="","",SUM(K227:O227))</f>
        <v/>
      </c>
      <c r="Q227" s="120" t="str">
        <f t="shared" ref="Q227:Q229" si="184">IF(P227="","",Q226+P227)</f>
        <v/>
      </c>
      <c r="R227" s="121"/>
    </row>
    <row r="228" spans="1:18" ht="15.95" customHeight="1" x14ac:dyDescent="0.25">
      <c r="A228" s="47"/>
      <c r="B228" s="55"/>
      <c r="C228" s="9"/>
      <c r="D228" s="136"/>
      <c r="E228" s="56"/>
      <c r="F228" s="57"/>
      <c r="G228" s="72"/>
      <c r="H228" s="73"/>
      <c r="I228" s="73"/>
      <c r="J228" s="9"/>
      <c r="K228" s="5"/>
      <c r="L228" s="5"/>
      <c r="M228" s="5"/>
      <c r="N228" s="5"/>
      <c r="O228" s="5"/>
      <c r="P228" s="120" t="str">
        <f t="shared" si="183"/>
        <v/>
      </c>
      <c r="Q228" s="120" t="str">
        <f t="shared" si="184"/>
        <v/>
      </c>
      <c r="R228" s="74"/>
    </row>
    <row r="229" spans="1:18" ht="15.95" customHeight="1" thickBot="1" x14ac:dyDescent="0.3">
      <c r="A229" s="47"/>
      <c r="B229" s="55"/>
      <c r="C229" s="9"/>
      <c r="D229" s="136"/>
      <c r="E229" s="56"/>
      <c r="F229" s="57"/>
      <c r="G229" s="72"/>
      <c r="H229" s="73"/>
      <c r="I229" s="73"/>
      <c r="J229" s="73"/>
      <c r="K229" s="73"/>
      <c r="L229" s="73"/>
      <c r="M229" s="73"/>
      <c r="N229" s="73"/>
      <c r="O229" s="73"/>
      <c r="P229" s="120" t="str">
        <f t="shared" si="183"/>
        <v/>
      </c>
      <c r="Q229" s="120" t="str">
        <f t="shared" si="184"/>
        <v/>
      </c>
      <c r="R229" s="74"/>
    </row>
    <row r="230" spans="1:18" ht="19.5" customHeight="1" thickBot="1" x14ac:dyDescent="0.3">
      <c r="A230" s="48"/>
      <c r="B230" s="58"/>
      <c r="C230" s="58"/>
      <c r="D230" s="138"/>
      <c r="E230" s="59"/>
      <c r="F230" s="58"/>
      <c r="G230" s="19"/>
      <c r="H230" s="20"/>
      <c r="I230" s="21"/>
      <c r="J230" s="22" t="s">
        <v>11</v>
      </c>
      <c r="K230" s="38">
        <f>SUM(K183:K229)</f>
        <v>2889</v>
      </c>
      <c r="L230" s="38">
        <f>SUM(L183:L229)</f>
        <v>1926</v>
      </c>
      <c r="M230" s="38">
        <f>SUM(M183:M229)</f>
        <v>1926</v>
      </c>
      <c r="N230" s="38">
        <f>SUM(N183:N229)</f>
        <v>1926</v>
      </c>
      <c r="O230" s="38">
        <f>SUM(O183:O229)</f>
        <v>1926</v>
      </c>
      <c r="P230" s="38">
        <f>SUM(K230:O230)</f>
        <v>10593</v>
      </c>
      <c r="Q230" s="23"/>
      <c r="R230" s="82"/>
    </row>
    <row r="231" spans="1:18" ht="18.75" customHeight="1" thickBot="1" x14ac:dyDescent="0.3">
      <c r="A231" s="49"/>
      <c r="B231" s="60"/>
      <c r="C231" s="60"/>
      <c r="D231" s="139"/>
      <c r="E231" s="60"/>
      <c r="F231" s="60"/>
      <c r="G231" s="24"/>
      <c r="H231" s="24"/>
      <c r="I231" s="25"/>
      <c r="J231" s="26" t="s">
        <v>12</v>
      </c>
      <c r="K231" s="39">
        <f>IF(K181="","",K230-K181)</f>
        <v>-1029</v>
      </c>
      <c r="L231" s="39">
        <f>IF(L181="","",L230-L181)</f>
        <v>-686</v>
      </c>
      <c r="M231" s="39">
        <f>IF(M181="","",M230-M181)</f>
        <v>-686</v>
      </c>
      <c r="N231" s="39">
        <f>IF(N181="","",N230-N181)</f>
        <v>-686</v>
      </c>
      <c r="O231" s="39">
        <f>IF(O181="","",O230-O181)</f>
        <v>-686</v>
      </c>
      <c r="P231" s="39">
        <f>SUM(K231:O231)</f>
        <v>-3773</v>
      </c>
      <c r="Q231" s="27"/>
      <c r="R231" s="83"/>
    </row>
    <row r="232" spans="1:18" x14ac:dyDescent="0.25">
      <c r="I232"/>
      <c r="J232" s="71">
        <v>59</v>
      </c>
      <c r="K232" s="70">
        <f>SUM(K114:K172)</f>
        <v>3879</v>
      </c>
      <c r="L232" s="70">
        <f t="shared" ref="L232:P232" si="185">SUM(L114:L172)</f>
        <v>2586</v>
      </c>
      <c r="M232" s="70">
        <f t="shared" si="185"/>
        <v>2586</v>
      </c>
      <c r="N232" s="70">
        <f t="shared" si="185"/>
        <v>2586</v>
      </c>
      <c r="O232" s="70">
        <f t="shared" si="185"/>
        <v>2586</v>
      </c>
      <c r="P232" s="70">
        <f t="shared" si="185"/>
        <v>14223</v>
      </c>
      <c r="Q232" s="29"/>
    </row>
    <row r="233" spans="1:18" ht="15.75" customHeight="1" x14ac:dyDescent="0.25">
      <c r="I233"/>
      <c r="J233" s="63" t="s">
        <v>18</v>
      </c>
      <c r="K233" s="75">
        <f t="shared" ref="K233:P233" si="186">K45+K3+K112</f>
        <v>10119</v>
      </c>
      <c r="L233" s="75">
        <f t="shared" si="186"/>
        <v>6746</v>
      </c>
      <c r="M233" s="75">
        <f t="shared" si="186"/>
        <v>6746</v>
      </c>
      <c r="N233" s="75">
        <f t="shared" si="186"/>
        <v>6746</v>
      </c>
      <c r="O233" s="75">
        <f t="shared" si="186"/>
        <v>6746</v>
      </c>
      <c r="P233" s="75">
        <f t="shared" si="186"/>
        <v>37103</v>
      </c>
      <c r="Q233" s="29"/>
    </row>
    <row r="234" spans="1:18" ht="15.75" customHeight="1" x14ac:dyDescent="0.25">
      <c r="I234"/>
      <c r="J234" s="63" t="s">
        <v>19</v>
      </c>
      <c r="K234" s="75">
        <f t="shared" ref="K234:P234" si="187">K108+K41+K177</f>
        <v>9864</v>
      </c>
      <c r="L234" s="75">
        <f t="shared" si="187"/>
        <v>6576</v>
      </c>
      <c r="M234" s="75">
        <f t="shared" si="187"/>
        <v>6576</v>
      </c>
      <c r="N234" s="75">
        <f t="shared" si="187"/>
        <v>6576</v>
      </c>
      <c r="O234" s="75">
        <f t="shared" si="187"/>
        <v>6576</v>
      </c>
      <c r="P234" s="75">
        <f t="shared" si="187"/>
        <v>36168</v>
      </c>
      <c r="Q234" s="29"/>
    </row>
    <row r="235" spans="1:18" ht="15.75" customHeight="1" x14ac:dyDescent="0.25">
      <c r="I235"/>
      <c r="J235" s="64" t="s">
        <v>20</v>
      </c>
      <c r="K235" s="66">
        <f>K234-K233</f>
        <v>-255</v>
      </c>
      <c r="L235" s="66">
        <f t="shared" ref="L235:P235" si="188">L234-L233</f>
        <v>-170</v>
      </c>
      <c r="M235" s="66">
        <f t="shared" si="188"/>
        <v>-170</v>
      </c>
      <c r="N235" s="66">
        <f t="shared" si="188"/>
        <v>-170</v>
      </c>
      <c r="O235" s="66">
        <f t="shared" si="188"/>
        <v>-170</v>
      </c>
      <c r="P235" s="66">
        <f t="shared" si="188"/>
        <v>-935</v>
      </c>
      <c r="Q235" s="29"/>
    </row>
    <row r="236" spans="1:18" ht="15.75" customHeight="1" x14ac:dyDescent="0.25">
      <c r="I236"/>
      <c r="J236" s="65" t="s">
        <v>21</v>
      </c>
      <c r="K236" s="68">
        <f>K235/K233</f>
        <v>-2.5200118588793358E-2</v>
      </c>
      <c r="L236" s="68">
        <f t="shared" ref="L236:P236" si="189">L235/L233</f>
        <v>-2.5200118588793358E-2</v>
      </c>
      <c r="M236" s="68">
        <f t="shared" si="189"/>
        <v>-2.5200118588793358E-2</v>
      </c>
      <c r="N236" s="68">
        <f t="shared" si="189"/>
        <v>-2.5200118588793358E-2</v>
      </c>
      <c r="O236" s="68">
        <f t="shared" si="189"/>
        <v>-2.5200118588793358E-2</v>
      </c>
      <c r="P236" s="68">
        <f t="shared" si="189"/>
        <v>-2.5200118588793358E-2</v>
      </c>
      <c r="Q236" s="29"/>
    </row>
    <row r="237" spans="1:18" ht="15.75" customHeight="1" x14ac:dyDescent="0.25">
      <c r="I237"/>
      <c r="J237" s="71"/>
      <c r="K237" s="75"/>
      <c r="L237" s="75"/>
      <c r="M237" s="75"/>
      <c r="N237" s="75"/>
      <c r="O237" s="75"/>
      <c r="P237" s="75"/>
      <c r="Q237" s="29"/>
    </row>
    <row r="238" spans="1:18" s="31" customFormat="1" ht="18.75" customHeight="1" x14ac:dyDescent="0.3">
      <c r="A238" s="45"/>
      <c r="B238" s="62"/>
      <c r="C238" s="62"/>
      <c r="D238" s="141"/>
      <c r="E238" s="62"/>
      <c r="F238" s="62"/>
      <c r="G238" s="34"/>
      <c r="H238" s="34"/>
      <c r="I238" s="35"/>
      <c r="J238" s="34"/>
      <c r="K238" s="28"/>
      <c r="L238" s="28"/>
      <c r="M238" s="28"/>
      <c r="N238" s="28"/>
      <c r="O238" s="63" t="s">
        <v>18</v>
      </c>
      <c r="P238" s="66">
        <f>P45+P3+P112+P181</f>
        <v>51469</v>
      </c>
      <c r="Q238" s="35"/>
      <c r="R238" s="84"/>
    </row>
    <row r="239" spans="1:18" x14ac:dyDescent="0.25">
      <c r="K239" s="28"/>
      <c r="L239" s="28"/>
      <c r="M239" s="28"/>
      <c r="N239" s="28"/>
      <c r="O239" s="63" t="s">
        <v>19</v>
      </c>
      <c r="P239" s="67">
        <f>P108+P41+P177+P230</f>
        <v>46761</v>
      </c>
    </row>
    <row r="240" spans="1:18" x14ac:dyDescent="0.25">
      <c r="K240" s="36"/>
      <c r="L240" s="36"/>
      <c r="M240" s="36"/>
      <c r="N240" s="36"/>
      <c r="O240" s="64" t="s">
        <v>20</v>
      </c>
      <c r="P240" s="66">
        <f>P239-P238</f>
        <v>-4708</v>
      </c>
    </row>
    <row r="241" spans="1:18" ht="18.75" x14ac:dyDescent="0.25">
      <c r="A241"/>
      <c r="B241"/>
      <c r="C241"/>
      <c r="E241"/>
      <c r="F241"/>
      <c r="I241"/>
      <c r="K241"/>
      <c r="L241"/>
      <c r="M241"/>
      <c r="N241"/>
      <c r="O241" s="65" t="s">
        <v>21</v>
      </c>
      <c r="P241" s="68">
        <f>P240/P238</f>
        <v>-9.1472536866851889E-2</v>
      </c>
      <c r="Q241" s="173" t="s">
        <v>15</v>
      </c>
      <c r="R241" s="173"/>
    </row>
    <row r="244" spans="1:18" x14ac:dyDescent="0.25">
      <c r="A244"/>
      <c r="B244"/>
      <c r="C244"/>
      <c r="E244"/>
      <c r="F244"/>
      <c r="I244"/>
      <c r="J244" s="1"/>
      <c r="K244"/>
      <c r="L244"/>
      <c r="M244"/>
      <c r="N244"/>
      <c r="O244" s="69"/>
      <c r="P244" s="66"/>
    </row>
    <row r="245" spans="1:18" x14ac:dyDescent="0.25">
      <c r="A245"/>
      <c r="B245"/>
      <c r="C245"/>
      <c r="E245"/>
      <c r="F245"/>
      <c r="I245"/>
      <c r="J245" s="1"/>
      <c r="K245"/>
      <c r="L245"/>
      <c r="M245"/>
      <c r="N245"/>
      <c r="P245" s="66"/>
      <c r="Q245" s="77"/>
    </row>
    <row r="246" spans="1:18" x14ac:dyDescent="0.25">
      <c r="A246"/>
      <c r="B246"/>
      <c r="C246"/>
      <c r="E246"/>
      <c r="F246"/>
      <c r="I246"/>
      <c r="J246" s="1"/>
      <c r="K246"/>
      <c r="L246"/>
      <c r="M246"/>
      <c r="N246"/>
      <c r="P246" s="66"/>
    </row>
    <row r="247" spans="1:18" x14ac:dyDescent="0.25">
      <c r="A247"/>
      <c r="B247"/>
      <c r="C247"/>
      <c r="E247"/>
      <c r="F247"/>
      <c r="I247"/>
      <c r="K247"/>
      <c r="L247"/>
      <c r="M247"/>
      <c r="N247"/>
      <c r="P247" s="68"/>
    </row>
    <row r="261" spans="10:17" x14ac:dyDescent="0.25">
      <c r="J261" s="43"/>
      <c r="K261"/>
      <c r="L261"/>
      <c r="M261"/>
      <c r="N261"/>
      <c r="O261"/>
      <c r="P261"/>
      <c r="Q261"/>
    </row>
    <row r="262" spans="10:17" x14ac:dyDescent="0.25">
      <c r="J262" s="43"/>
      <c r="K262"/>
      <c r="L262"/>
      <c r="M262"/>
      <c r="N262"/>
      <c r="O262"/>
      <c r="P262"/>
      <c r="Q262"/>
    </row>
    <row r="263" spans="10:17" x14ac:dyDescent="0.25">
      <c r="J263" s="43"/>
      <c r="K263"/>
      <c r="L263"/>
      <c r="M263"/>
      <c r="N263"/>
      <c r="O263"/>
      <c r="P263"/>
      <c r="Q263"/>
    </row>
  </sheetData>
  <mergeCells count="1">
    <mergeCell ref="Q241:R241"/>
  </mergeCells>
  <conditionalFormatting sqref="K42:P42">
    <cfRule type="cellIs" dxfId="23" priority="9" operator="lessThan">
      <formula>0</formula>
    </cfRule>
    <cfRule type="cellIs" dxfId="22" priority="10" operator="greaterThan">
      <formula>0</formula>
    </cfRule>
  </conditionalFormatting>
  <conditionalFormatting sqref="K109:P110">
    <cfRule type="cellIs" dxfId="21" priority="5" operator="lessThan">
      <formula>0</formula>
    </cfRule>
    <cfRule type="cellIs" dxfId="20" priority="6" operator="greaterThan">
      <formula>0</formula>
    </cfRule>
  </conditionalFormatting>
  <conditionalFormatting sqref="K178:P179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K231:P231">
    <cfRule type="cellIs" dxfId="17" priority="3" operator="lessThan">
      <formula>0</formula>
    </cfRule>
    <cfRule type="cellIs" dxfId="16" priority="4" operator="greaterThan">
      <formula>0</formula>
    </cfRule>
  </conditionalFormatting>
  <printOptions horizontalCentered="1" verticalCentered="1"/>
  <pageMargins left="0.25" right="0.25" top="0" bottom="0" header="0.3" footer="0.75"/>
  <pageSetup paperSize="9" scale="49" fitToHeight="0" orientation="landscape" r:id="rId1"/>
  <rowBreaks count="3" manualBreakCount="3">
    <brk id="61" max="17" man="1"/>
    <brk id="109" max="17" man="1"/>
    <brk id="179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9272-2A8C-41E9-9F84-0DC24906EDF9}">
  <dimension ref="A1:R283"/>
  <sheetViews>
    <sheetView view="pageBreakPreview" topLeftCell="B238" zoomScale="80" zoomScaleNormal="78" zoomScaleSheetLayoutView="80" workbookViewId="0">
      <selection activeCell="G235" sqref="G235"/>
    </sheetView>
  </sheetViews>
  <sheetFormatPr defaultRowHeight="18" x14ac:dyDescent="0.25"/>
  <cols>
    <col min="1" max="1" width="17.484375" style="45" customWidth="1"/>
    <col min="2" max="2" width="17.21875" style="43" customWidth="1"/>
    <col min="3" max="3" width="14.390625" style="43" customWidth="1"/>
    <col min="4" max="4" width="19.7734375" style="140" customWidth="1"/>
    <col min="5" max="5" width="13.98828125" style="61" customWidth="1"/>
    <col min="6" max="6" width="13.71875" style="43" customWidth="1"/>
    <col min="7" max="7" width="15.73828125" customWidth="1"/>
    <col min="8" max="8" width="7.80078125" customWidth="1"/>
    <col min="9" max="9" width="7.6640625" style="1" customWidth="1"/>
    <col min="10" max="10" width="8.609375" customWidth="1"/>
    <col min="11" max="15" width="9.55078125" style="1" customWidth="1"/>
    <col min="16" max="16" width="13.1796875" style="1" customWidth="1"/>
    <col min="17" max="17" width="14.52734375" style="1" customWidth="1"/>
    <col min="18" max="18" width="18.5625" style="61" customWidth="1"/>
    <col min="19" max="19" width="9.01171875" customWidth="1"/>
    <col min="21" max="25" width="9.14453125" customWidth="1"/>
  </cols>
  <sheetData>
    <row r="1" spans="1:18" s="31" customFormat="1" ht="28.5" customHeight="1" x14ac:dyDescent="0.45">
      <c r="A1" s="45"/>
      <c r="B1" s="40"/>
      <c r="C1" s="40"/>
      <c r="D1" s="132"/>
      <c r="E1" s="40"/>
      <c r="F1" s="40"/>
      <c r="I1" s="33" t="s">
        <v>27</v>
      </c>
      <c r="K1" s="32"/>
      <c r="L1" s="32"/>
      <c r="M1" s="32"/>
      <c r="N1" s="32"/>
      <c r="O1" s="32"/>
      <c r="P1" s="32"/>
      <c r="Q1" s="32"/>
      <c r="R1" s="80"/>
    </row>
    <row r="2" spans="1:18" s="1" customFormat="1" ht="18.75" customHeight="1" thickBot="1" x14ac:dyDescent="0.35">
      <c r="A2" s="46"/>
      <c r="B2" s="41"/>
      <c r="C2" s="41"/>
      <c r="D2" s="133"/>
      <c r="E2" s="41"/>
      <c r="F2" s="41"/>
      <c r="I2" s="90" t="s">
        <v>26</v>
      </c>
      <c r="K2" s="30"/>
      <c r="L2" s="30"/>
      <c r="M2" s="30"/>
      <c r="N2" s="30"/>
      <c r="O2" s="30"/>
      <c r="P2" s="30"/>
      <c r="Q2" s="30"/>
      <c r="R2" s="81"/>
    </row>
    <row r="3" spans="1:18" s="2" customFormat="1" ht="27" customHeight="1" thickBot="1" x14ac:dyDescent="0.25">
      <c r="A3" s="91"/>
      <c r="B3" s="51"/>
      <c r="C3" s="51"/>
      <c r="D3" s="134"/>
      <c r="E3" s="52"/>
      <c r="F3" s="53"/>
      <c r="G3" s="15"/>
      <c r="H3" s="15"/>
      <c r="I3" s="15"/>
      <c r="J3" s="16" t="s">
        <v>16</v>
      </c>
      <c r="K3" s="17">
        <v>1306</v>
      </c>
      <c r="L3" s="17">
        <v>1306</v>
      </c>
      <c r="M3" s="17">
        <v>1306</v>
      </c>
      <c r="N3" s="17">
        <v>1959</v>
      </c>
      <c r="O3" s="17">
        <v>1306</v>
      </c>
      <c r="P3" s="18">
        <f>SUM(K3:O3)</f>
        <v>7183</v>
      </c>
      <c r="Q3" s="37"/>
      <c r="R3" s="76"/>
    </row>
    <row r="4" spans="1:18" s="13" customFormat="1" ht="30.75" customHeight="1" thickBot="1" x14ac:dyDescent="0.2">
      <c r="A4" s="44" t="s">
        <v>17</v>
      </c>
      <c r="B4" s="50" t="s">
        <v>13</v>
      </c>
      <c r="C4" s="50" t="s">
        <v>14</v>
      </c>
      <c r="D4" s="135" t="s">
        <v>9</v>
      </c>
      <c r="E4" s="50" t="s">
        <v>22</v>
      </c>
      <c r="F4" s="50" t="s">
        <v>8</v>
      </c>
      <c r="G4" s="10" t="s">
        <v>7</v>
      </c>
      <c r="H4" s="10" t="s">
        <v>5</v>
      </c>
      <c r="I4" s="10" t="s">
        <v>6</v>
      </c>
      <c r="J4" s="11" t="s">
        <v>4</v>
      </c>
      <c r="K4" s="14" t="s">
        <v>28</v>
      </c>
      <c r="L4" s="14" t="s">
        <v>29</v>
      </c>
      <c r="M4" s="14" t="s">
        <v>1</v>
      </c>
      <c r="N4" s="14" t="s">
        <v>24</v>
      </c>
      <c r="O4" s="14" t="s">
        <v>25</v>
      </c>
      <c r="P4" s="12" t="s">
        <v>10</v>
      </c>
      <c r="Q4" s="12" t="s">
        <v>3</v>
      </c>
      <c r="R4" s="85" t="s">
        <v>0</v>
      </c>
    </row>
    <row r="5" spans="1:18" s="3" customFormat="1" ht="15.95" customHeight="1" x14ac:dyDescent="0.2">
      <c r="A5" s="86" t="s">
        <v>32</v>
      </c>
      <c r="B5" s="87" t="s">
        <v>31</v>
      </c>
      <c r="C5" s="87">
        <v>14220</v>
      </c>
      <c r="D5" s="87" t="s">
        <v>34</v>
      </c>
      <c r="E5" s="88">
        <f>P3</f>
        <v>7183</v>
      </c>
      <c r="F5" s="89"/>
      <c r="G5" s="4">
        <v>46152</v>
      </c>
      <c r="H5" s="5">
        <v>19</v>
      </c>
      <c r="I5" s="5"/>
      <c r="J5" s="5">
        <v>1</v>
      </c>
      <c r="K5" s="5">
        <f>19*2</f>
        <v>38</v>
      </c>
      <c r="L5" s="5">
        <f t="shared" ref="L5:M5" si="0">19*2</f>
        <v>38</v>
      </c>
      <c r="M5" s="5">
        <f t="shared" si="0"/>
        <v>38</v>
      </c>
      <c r="N5" s="5">
        <f>19*3</f>
        <v>57</v>
      </c>
      <c r="O5" s="5">
        <f>19*2</f>
        <v>38</v>
      </c>
      <c r="P5" s="6">
        <f>IF(G5="","",SUM(K5:O5))</f>
        <v>209</v>
      </c>
      <c r="Q5" s="7">
        <f>IF(P5="","",P5)</f>
        <v>209</v>
      </c>
      <c r="R5" s="79" t="s">
        <v>23</v>
      </c>
    </row>
    <row r="6" spans="1:18" ht="15.95" customHeight="1" x14ac:dyDescent="0.25">
      <c r="A6" s="47" t="s">
        <v>37</v>
      </c>
      <c r="B6" s="55"/>
      <c r="C6" s="9"/>
      <c r="D6" s="136" t="s">
        <v>43</v>
      </c>
      <c r="E6" s="56"/>
      <c r="F6" s="57"/>
      <c r="G6" s="8">
        <v>46153</v>
      </c>
      <c r="H6" s="9">
        <v>15</v>
      </c>
      <c r="I6" s="9"/>
      <c r="J6" s="9">
        <v>2</v>
      </c>
      <c r="K6" s="9">
        <f>15*2</f>
        <v>30</v>
      </c>
      <c r="L6" s="9">
        <f t="shared" ref="L6:O7" si="1">15*2</f>
        <v>30</v>
      </c>
      <c r="M6" s="9">
        <f t="shared" si="1"/>
        <v>30</v>
      </c>
      <c r="N6" s="9">
        <f>15*3</f>
        <v>45</v>
      </c>
      <c r="O6" s="9">
        <f t="shared" si="1"/>
        <v>30</v>
      </c>
      <c r="P6" s="6">
        <f>IF(G6="","",SUM(K6:O6))</f>
        <v>165</v>
      </c>
      <c r="Q6" s="6">
        <f>IF(P6="","",Q5+P6)</f>
        <v>374</v>
      </c>
      <c r="R6" s="42" t="s">
        <v>23</v>
      </c>
    </row>
    <row r="7" spans="1:18" ht="15.95" customHeight="1" x14ac:dyDescent="0.25">
      <c r="A7" s="47"/>
      <c r="B7" s="55"/>
      <c r="C7" s="9"/>
      <c r="D7" s="137"/>
      <c r="E7" s="56"/>
      <c r="F7" s="57"/>
      <c r="G7" s="8">
        <v>46153</v>
      </c>
      <c r="H7" s="9">
        <v>15</v>
      </c>
      <c r="I7" s="9"/>
      <c r="J7" s="9">
        <v>3</v>
      </c>
      <c r="K7" s="9">
        <f>15*2</f>
        <v>30</v>
      </c>
      <c r="L7" s="9">
        <f t="shared" si="1"/>
        <v>30</v>
      </c>
      <c r="M7" s="9">
        <f t="shared" si="1"/>
        <v>30</v>
      </c>
      <c r="N7" s="9">
        <f>15*3</f>
        <v>45</v>
      </c>
      <c r="O7" s="9">
        <f t="shared" si="1"/>
        <v>30</v>
      </c>
      <c r="P7" s="6">
        <f>IF(G7="","",SUM(K7:O7))</f>
        <v>165</v>
      </c>
      <c r="Q7" s="6">
        <f t="shared" ref="Q7" si="2">IF(P7="","",Q6+P7)</f>
        <v>539</v>
      </c>
      <c r="R7" s="42" t="s">
        <v>23</v>
      </c>
    </row>
    <row r="8" spans="1:18" ht="15.95" customHeight="1" x14ac:dyDescent="0.25">
      <c r="A8" s="47"/>
      <c r="B8" s="55"/>
      <c r="C8" s="9"/>
      <c r="D8" s="136"/>
      <c r="E8" s="56"/>
      <c r="F8" s="57"/>
      <c r="G8" s="72">
        <v>46154</v>
      </c>
      <c r="H8" s="73">
        <v>17</v>
      </c>
      <c r="I8" s="73"/>
      <c r="J8" s="73">
        <v>4</v>
      </c>
      <c r="K8" s="73">
        <v>34</v>
      </c>
      <c r="L8" s="73">
        <v>34</v>
      </c>
      <c r="M8" s="73">
        <v>34</v>
      </c>
      <c r="N8" s="73">
        <v>51</v>
      </c>
      <c r="O8" s="73">
        <v>34</v>
      </c>
      <c r="P8" s="6">
        <f t="shared" ref="P8" si="3">IF(G8="","",SUM(K8:O8))</f>
        <v>187</v>
      </c>
      <c r="Q8" s="6">
        <f t="shared" ref="Q8" si="4">IF(P8="","",Q7+P8)</f>
        <v>726</v>
      </c>
      <c r="R8" s="74" t="s">
        <v>23</v>
      </c>
    </row>
    <row r="9" spans="1:18" ht="15.95" customHeight="1" x14ac:dyDescent="0.25">
      <c r="A9" s="47"/>
      <c r="B9" s="55"/>
      <c r="C9" s="9"/>
      <c r="D9" s="136"/>
      <c r="E9" s="56"/>
      <c r="F9" s="57"/>
      <c r="G9" s="8">
        <v>46154</v>
      </c>
      <c r="H9" s="9">
        <v>18</v>
      </c>
      <c r="I9" s="9"/>
      <c r="J9" s="9">
        <v>5</v>
      </c>
      <c r="K9" s="9">
        <v>36</v>
      </c>
      <c r="L9" s="9">
        <v>36</v>
      </c>
      <c r="M9" s="9">
        <v>36</v>
      </c>
      <c r="N9" s="9">
        <v>54</v>
      </c>
      <c r="O9" s="9">
        <v>36</v>
      </c>
      <c r="P9" s="6">
        <f t="shared" ref="P9:P10" si="5">IF(G9="","",SUM(K9:O9))</f>
        <v>198</v>
      </c>
      <c r="Q9" s="6">
        <f t="shared" ref="Q9:Q10" si="6">IF(P9="","",Q8+P9)</f>
        <v>924</v>
      </c>
      <c r="R9" s="42" t="s">
        <v>23</v>
      </c>
    </row>
    <row r="10" spans="1:18" ht="15.95" customHeight="1" x14ac:dyDescent="0.25">
      <c r="A10" s="47"/>
      <c r="B10" s="55"/>
      <c r="C10" s="9"/>
      <c r="D10" s="136"/>
      <c r="E10" s="56"/>
      <c r="F10" s="57"/>
      <c r="G10" s="8">
        <v>46155</v>
      </c>
      <c r="H10" s="9">
        <v>15</v>
      </c>
      <c r="I10" s="9"/>
      <c r="J10" s="9">
        <v>6</v>
      </c>
      <c r="K10" s="9">
        <v>30</v>
      </c>
      <c r="L10" s="9">
        <v>30</v>
      </c>
      <c r="M10" s="9">
        <v>30</v>
      </c>
      <c r="N10" s="9">
        <v>45</v>
      </c>
      <c r="O10" s="9">
        <v>30</v>
      </c>
      <c r="P10" s="6">
        <f t="shared" si="5"/>
        <v>165</v>
      </c>
      <c r="Q10" s="6">
        <f t="shared" si="6"/>
        <v>1089</v>
      </c>
      <c r="R10" s="42" t="s">
        <v>23</v>
      </c>
    </row>
    <row r="11" spans="1:18" ht="15.95" customHeight="1" x14ac:dyDescent="0.25">
      <c r="A11" s="47"/>
      <c r="B11" s="55"/>
      <c r="C11" s="9"/>
      <c r="D11" s="136"/>
      <c r="E11" s="56"/>
      <c r="F11" s="57"/>
      <c r="G11" s="8">
        <v>46155</v>
      </c>
      <c r="H11" s="9">
        <v>15</v>
      </c>
      <c r="I11" s="9"/>
      <c r="J11" s="9">
        <v>7</v>
      </c>
      <c r="K11" s="9">
        <v>30</v>
      </c>
      <c r="L11" s="9">
        <v>30</v>
      </c>
      <c r="M11" s="9">
        <v>30</v>
      </c>
      <c r="N11" s="9">
        <v>45</v>
      </c>
      <c r="O11" s="9">
        <v>30</v>
      </c>
      <c r="P11" s="6">
        <f t="shared" ref="P11:P12" si="7">IF(G11="","",SUM(K11:O11))</f>
        <v>165</v>
      </c>
      <c r="Q11" s="6">
        <f t="shared" ref="Q11:Q12" si="8">IF(P11="","",Q10+P11)</f>
        <v>1254</v>
      </c>
      <c r="R11" s="42" t="s">
        <v>23</v>
      </c>
    </row>
    <row r="12" spans="1:18" ht="15.95" customHeight="1" x14ac:dyDescent="0.25">
      <c r="A12" s="47"/>
      <c r="B12" s="55"/>
      <c r="C12" s="9"/>
      <c r="D12" s="136"/>
      <c r="E12" s="56"/>
      <c r="F12" s="57"/>
      <c r="G12" s="8">
        <v>46155</v>
      </c>
      <c r="H12" s="9">
        <v>15</v>
      </c>
      <c r="I12" s="9"/>
      <c r="J12" s="9">
        <v>8</v>
      </c>
      <c r="K12" s="9">
        <v>30</v>
      </c>
      <c r="L12" s="9">
        <v>30</v>
      </c>
      <c r="M12" s="9">
        <v>30</v>
      </c>
      <c r="N12" s="9">
        <v>45</v>
      </c>
      <c r="O12" s="9">
        <v>30</v>
      </c>
      <c r="P12" s="6">
        <f t="shared" si="7"/>
        <v>165</v>
      </c>
      <c r="Q12" s="6">
        <f t="shared" si="8"/>
        <v>1419</v>
      </c>
      <c r="R12" s="42" t="s">
        <v>23</v>
      </c>
    </row>
    <row r="13" spans="1:18" ht="15.95" customHeight="1" x14ac:dyDescent="0.25">
      <c r="A13" s="47"/>
      <c r="B13" s="55"/>
      <c r="C13" s="9"/>
      <c r="D13" s="136"/>
      <c r="E13" s="56"/>
      <c r="F13" s="57"/>
      <c r="G13" s="8">
        <v>46155</v>
      </c>
      <c r="H13" s="9">
        <v>20</v>
      </c>
      <c r="I13" s="9"/>
      <c r="J13" s="9">
        <v>9</v>
      </c>
      <c r="K13" s="9">
        <v>40</v>
      </c>
      <c r="L13" s="9">
        <v>40</v>
      </c>
      <c r="M13" s="9">
        <v>40</v>
      </c>
      <c r="N13" s="9">
        <v>60</v>
      </c>
      <c r="O13" s="9">
        <v>40</v>
      </c>
      <c r="P13" s="6">
        <f t="shared" ref="P13:P18" si="9">IF(G13="","",SUM(K13:O13))</f>
        <v>220</v>
      </c>
      <c r="Q13" s="6">
        <f t="shared" ref="Q13:Q18" si="10">IF(P13="","",Q12+P13)</f>
        <v>1639</v>
      </c>
      <c r="R13" s="42" t="s">
        <v>23</v>
      </c>
    </row>
    <row r="14" spans="1:18" ht="15.95" customHeight="1" x14ac:dyDescent="0.25">
      <c r="A14" s="47"/>
      <c r="B14" s="55"/>
      <c r="C14" s="9"/>
      <c r="D14" s="136"/>
      <c r="E14" s="56"/>
      <c r="F14" s="57"/>
      <c r="G14" s="8">
        <v>46155</v>
      </c>
      <c r="H14" s="9">
        <v>20</v>
      </c>
      <c r="I14" s="9"/>
      <c r="J14" s="9">
        <v>10</v>
      </c>
      <c r="K14" s="9">
        <v>40</v>
      </c>
      <c r="L14" s="9">
        <v>40</v>
      </c>
      <c r="M14" s="9">
        <v>40</v>
      </c>
      <c r="N14" s="9">
        <v>60</v>
      </c>
      <c r="O14" s="9">
        <v>40</v>
      </c>
      <c r="P14" s="6">
        <f t="shared" si="9"/>
        <v>220</v>
      </c>
      <c r="Q14" s="6">
        <f t="shared" si="10"/>
        <v>1859</v>
      </c>
      <c r="R14" s="42" t="s">
        <v>23</v>
      </c>
    </row>
    <row r="15" spans="1:18" ht="15.95" customHeight="1" x14ac:dyDescent="0.25">
      <c r="A15" s="47"/>
      <c r="B15" s="55"/>
      <c r="C15" s="9"/>
      <c r="D15" s="136"/>
      <c r="E15" s="56"/>
      <c r="F15" s="57"/>
      <c r="G15" s="8">
        <v>46156</v>
      </c>
      <c r="H15" s="9">
        <v>20</v>
      </c>
      <c r="I15" s="9"/>
      <c r="J15" s="9">
        <v>11</v>
      </c>
      <c r="K15" s="9">
        <v>40</v>
      </c>
      <c r="L15" s="9">
        <v>40</v>
      </c>
      <c r="M15" s="9">
        <v>40</v>
      </c>
      <c r="N15" s="9">
        <v>60</v>
      </c>
      <c r="O15" s="9">
        <v>40</v>
      </c>
      <c r="P15" s="6">
        <f t="shared" si="9"/>
        <v>220</v>
      </c>
      <c r="Q15" s="6">
        <f t="shared" si="10"/>
        <v>2079</v>
      </c>
      <c r="R15" s="42" t="s">
        <v>23</v>
      </c>
    </row>
    <row r="16" spans="1:18" ht="15.95" customHeight="1" x14ac:dyDescent="0.25">
      <c r="A16" s="47"/>
      <c r="B16" s="55"/>
      <c r="C16" s="9"/>
      <c r="D16" s="136"/>
      <c r="E16" s="56"/>
      <c r="F16" s="57"/>
      <c r="G16" s="8">
        <v>46156</v>
      </c>
      <c r="H16" s="9">
        <v>20</v>
      </c>
      <c r="I16" s="9"/>
      <c r="J16" s="9">
        <v>12</v>
      </c>
      <c r="K16" s="9">
        <v>40</v>
      </c>
      <c r="L16" s="9">
        <v>40</v>
      </c>
      <c r="M16" s="9">
        <v>40</v>
      </c>
      <c r="N16" s="9">
        <v>60</v>
      </c>
      <c r="O16" s="9">
        <v>40</v>
      </c>
      <c r="P16" s="6">
        <f t="shared" si="9"/>
        <v>220</v>
      </c>
      <c r="Q16" s="6">
        <f t="shared" si="10"/>
        <v>2299</v>
      </c>
      <c r="R16" s="42" t="s">
        <v>23</v>
      </c>
    </row>
    <row r="17" spans="1:18" ht="15.95" customHeight="1" x14ac:dyDescent="0.25">
      <c r="A17" s="47"/>
      <c r="B17" s="55"/>
      <c r="C17" s="9"/>
      <c r="D17" s="136"/>
      <c r="E17" s="56"/>
      <c r="F17" s="57"/>
      <c r="G17" s="8">
        <v>46156</v>
      </c>
      <c r="H17" s="9">
        <v>20</v>
      </c>
      <c r="I17" s="9"/>
      <c r="J17" s="9">
        <v>13</v>
      </c>
      <c r="K17" s="9">
        <v>40</v>
      </c>
      <c r="L17" s="9">
        <v>40</v>
      </c>
      <c r="M17" s="9">
        <v>40</v>
      </c>
      <c r="N17" s="9">
        <v>60</v>
      </c>
      <c r="O17" s="9">
        <v>40</v>
      </c>
      <c r="P17" s="6">
        <f t="shared" si="9"/>
        <v>220</v>
      </c>
      <c r="Q17" s="6">
        <f t="shared" si="10"/>
        <v>2519</v>
      </c>
      <c r="R17" s="42" t="s">
        <v>23</v>
      </c>
    </row>
    <row r="18" spans="1:18" ht="15.95" customHeight="1" x14ac:dyDescent="0.25">
      <c r="A18" s="47"/>
      <c r="B18" s="55"/>
      <c r="C18" s="9"/>
      <c r="D18" s="136"/>
      <c r="E18" s="56"/>
      <c r="F18" s="57"/>
      <c r="G18" s="8">
        <v>46156</v>
      </c>
      <c r="H18" s="9">
        <v>20</v>
      </c>
      <c r="I18" s="9"/>
      <c r="J18" s="9">
        <v>14</v>
      </c>
      <c r="K18" s="9">
        <v>40</v>
      </c>
      <c r="L18" s="9">
        <v>40</v>
      </c>
      <c r="M18" s="9">
        <v>40</v>
      </c>
      <c r="N18" s="9">
        <v>60</v>
      </c>
      <c r="O18" s="9">
        <v>40</v>
      </c>
      <c r="P18" s="6">
        <f t="shared" si="9"/>
        <v>220</v>
      </c>
      <c r="Q18" s="6">
        <f t="shared" si="10"/>
        <v>2739</v>
      </c>
      <c r="R18" s="42" t="s">
        <v>23</v>
      </c>
    </row>
    <row r="19" spans="1:18" ht="15.95" customHeight="1" x14ac:dyDescent="0.25">
      <c r="A19" s="47"/>
      <c r="B19" s="55"/>
      <c r="C19" s="9"/>
      <c r="D19" s="136"/>
      <c r="E19" s="56"/>
      <c r="F19" s="57"/>
      <c r="G19" s="8">
        <v>46158</v>
      </c>
      <c r="H19" s="9">
        <v>20</v>
      </c>
      <c r="I19" s="9"/>
      <c r="J19" s="9">
        <v>15</v>
      </c>
      <c r="K19" s="9">
        <v>40</v>
      </c>
      <c r="L19" s="9">
        <v>40</v>
      </c>
      <c r="M19" s="9">
        <v>40</v>
      </c>
      <c r="N19" s="9">
        <v>60</v>
      </c>
      <c r="O19" s="9">
        <v>40</v>
      </c>
      <c r="P19" s="6">
        <f t="shared" ref="P19:P22" si="11">IF(G19="","",SUM(K19:O19))</f>
        <v>220</v>
      </c>
      <c r="Q19" s="6">
        <f t="shared" ref="Q19:Q22" si="12">IF(P19="","",Q18+P19)</f>
        <v>2959</v>
      </c>
      <c r="R19" s="42" t="s">
        <v>23</v>
      </c>
    </row>
    <row r="20" spans="1:18" ht="15.95" customHeight="1" x14ac:dyDescent="0.25">
      <c r="A20" s="47"/>
      <c r="B20" s="55"/>
      <c r="C20" s="9"/>
      <c r="D20" s="136"/>
      <c r="E20" s="56"/>
      <c r="F20" s="57"/>
      <c r="G20" s="8">
        <v>46158</v>
      </c>
      <c r="H20" s="9">
        <v>20</v>
      </c>
      <c r="I20" s="9"/>
      <c r="J20" s="9">
        <v>16</v>
      </c>
      <c r="K20" s="9">
        <v>40</v>
      </c>
      <c r="L20" s="9">
        <v>40</v>
      </c>
      <c r="M20" s="9">
        <v>40</v>
      </c>
      <c r="N20" s="9">
        <v>60</v>
      </c>
      <c r="O20" s="9">
        <v>40</v>
      </c>
      <c r="P20" s="6">
        <f t="shared" si="11"/>
        <v>220</v>
      </c>
      <c r="Q20" s="6">
        <f t="shared" si="12"/>
        <v>3179</v>
      </c>
      <c r="R20" s="42" t="s">
        <v>23</v>
      </c>
    </row>
    <row r="21" spans="1:18" ht="15.95" customHeight="1" x14ac:dyDescent="0.25">
      <c r="A21" s="47"/>
      <c r="B21" s="55"/>
      <c r="C21" s="9"/>
      <c r="D21" s="136"/>
      <c r="E21" s="56"/>
      <c r="F21" s="57"/>
      <c r="G21" s="8">
        <v>46158</v>
      </c>
      <c r="H21" s="9">
        <v>20</v>
      </c>
      <c r="I21" s="9"/>
      <c r="J21" s="9">
        <v>17</v>
      </c>
      <c r="K21" s="9">
        <v>40</v>
      </c>
      <c r="L21" s="9">
        <v>40</v>
      </c>
      <c r="M21" s="9">
        <v>40</v>
      </c>
      <c r="N21" s="9">
        <v>60</v>
      </c>
      <c r="O21" s="9">
        <v>40</v>
      </c>
      <c r="P21" s="6">
        <f t="shared" si="11"/>
        <v>220</v>
      </c>
      <c r="Q21" s="6">
        <f t="shared" si="12"/>
        <v>3399</v>
      </c>
      <c r="R21" s="42" t="s">
        <v>23</v>
      </c>
    </row>
    <row r="22" spans="1:18" ht="15.95" customHeight="1" x14ac:dyDescent="0.25">
      <c r="A22" s="47"/>
      <c r="B22" s="55"/>
      <c r="C22" s="9"/>
      <c r="D22" s="136"/>
      <c r="E22" s="56"/>
      <c r="F22" s="57"/>
      <c r="G22" s="8">
        <v>46158</v>
      </c>
      <c r="H22" s="9">
        <v>20</v>
      </c>
      <c r="I22" s="9"/>
      <c r="J22" s="9">
        <v>18</v>
      </c>
      <c r="K22" s="9">
        <f>20*2</f>
        <v>40</v>
      </c>
      <c r="L22" s="9">
        <f t="shared" ref="L22:O24" si="13">20*2</f>
        <v>40</v>
      </c>
      <c r="M22" s="9">
        <f t="shared" si="13"/>
        <v>40</v>
      </c>
      <c r="N22" s="9">
        <v>60</v>
      </c>
      <c r="O22" s="9">
        <f t="shared" si="13"/>
        <v>40</v>
      </c>
      <c r="P22" s="6">
        <f t="shared" si="11"/>
        <v>220</v>
      </c>
      <c r="Q22" s="6">
        <f t="shared" si="12"/>
        <v>3619</v>
      </c>
      <c r="R22" s="42" t="s">
        <v>23</v>
      </c>
    </row>
    <row r="23" spans="1:18" ht="15.95" customHeight="1" x14ac:dyDescent="0.25">
      <c r="A23" s="47"/>
      <c r="B23" s="55"/>
      <c r="C23" s="9"/>
      <c r="D23" s="136"/>
      <c r="E23" s="56"/>
      <c r="F23" s="57"/>
      <c r="G23" s="8">
        <v>46158</v>
      </c>
      <c r="H23" s="9">
        <v>20</v>
      </c>
      <c r="I23" s="9"/>
      <c r="J23" s="9">
        <v>19</v>
      </c>
      <c r="K23" s="9">
        <v>40</v>
      </c>
      <c r="L23" s="9">
        <v>40</v>
      </c>
      <c r="M23" s="9">
        <v>40</v>
      </c>
      <c r="N23" s="9">
        <v>60</v>
      </c>
      <c r="O23" s="9">
        <v>40</v>
      </c>
      <c r="P23" s="6">
        <f t="shared" ref="P23" si="14">IF(G23="","",SUM(K23:O23))</f>
        <v>220</v>
      </c>
      <c r="Q23" s="6">
        <f t="shared" ref="Q23" si="15">IF(P23="","",Q22+P23)</f>
        <v>3839</v>
      </c>
      <c r="R23" s="42" t="s">
        <v>23</v>
      </c>
    </row>
    <row r="24" spans="1:18" ht="15.95" customHeight="1" x14ac:dyDescent="0.25">
      <c r="A24" s="47"/>
      <c r="B24" s="55"/>
      <c r="C24" s="9"/>
      <c r="D24" s="136"/>
      <c r="E24" s="56"/>
      <c r="F24" s="57"/>
      <c r="G24" s="8">
        <v>46158</v>
      </c>
      <c r="H24" s="9">
        <v>20</v>
      </c>
      <c r="I24" s="9"/>
      <c r="J24" s="9">
        <v>20</v>
      </c>
      <c r="K24" s="9">
        <f>20*2</f>
        <v>40</v>
      </c>
      <c r="L24" s="9">
        <f t="shared" si="13"/>
        <v>40</v>
      </c>
      <c r="M24" s="9">
        <f t="shared" si="13"/>
        <v>40</v>
      </c>
      <c r="N24" s="9">
        <v>60</v>
      </c>
      <c r="O24" s="9">
        <f t="shared" si="13"/>
        <v>40</v>
      </c>
      <c r="P24" s="6">
        <f t="shared" ref="P24:P25" si="16">IF(G24="","",SUM(K24:O24))</f>
        <v>220</v>
      </c>
      <c r="Q24" s="6">
        <f t="shared" ref="Q24:Q25" si="17">IF(P24="","",Q23+P24)</f>
        <v>4059</v>
      </c>
      <c r="R24" s="42" t="s">
        <v>23</v>
      </c>
    </row>
    <row r="25" spans="1:18" ht="15.95" customHeight="1" x14ac:dyDescent="0.25">
      <c r="A25" s="47"/>
      <c r="B25" s="55"/>
      <c r="C25" s="9"/>
      <c r="D25" s="136"/>
      <c r="E25" s="56"/>
      <c r="F25" s="57"/>
      <c r="G25" s="8">
        <v>46159</v>
      </c>
      <c r="H25" s="9">
        <v>20</v>
      </c>
      <c r="I25" s="9"/>
      <c r="J25" s="9">
        <v>21</v>
      </c>
      <c r="K25" s="9">
        <v>40</v>
      </c>
      <c r="L25" s="9">
        <v>40</v>
      </c>
      <c r="M25" s="9">
        <v>40</v>
      </c>
      <c r="N25" s="9">
        <v>60</v>
      </c>
      <c r="O25" s="9">
        <v>40</v>
      </c>
      <c r="P25" s="6">
        <f t="shared" si="16"/>
        <v>220</v>
      </c>
      <c r="Q25" s="6">
        <f t="shared" si="17"/>
        <v>4279</v>
      </c>
      <c r="R25" s="42" t="s">
        <v>23</v>
      </c>
    </row>
    <row r="26" spans="1:18" ht="15.95" customHeight="1" x14ac:dyDescent="0.25">
      <c r="A26" s="47"/>
      <c r="B26" s="55"/>
      <c r="C26" s="9"/>
      <c r="D26" s="136"/>
      <c r="E26" s="56"/>
      <c r="F26" s="57"/>
      <c r="G26" s="8">
        <v>46159</v>
      </c>
      <c r="H26" s="9">
        <v>20</v>
      </c>
      <c r="I26" s="9"/>
      <c r="J26" s="9">
        <v>22</v>
      </c>
      <c r="K26" s="9">
        <v>40</v>
      </c>
      <c r="L26" s="9">
        <v>40</v>
      </c>
      <c r="M26" s="9">
        <v>40</v>
      </c>
      <c r="N26" s="9">
        <v>60</v>
      </c>
      <c r="O26" s="9">
        <v>40</v>
      </c>
      <c r="P26" s="6">
        <f t="shared" ref="P26" si="18">IF(G26="","",SUM(K26:O26))</f>
        <v>220</v>
      </c>
      <c r="Q26" s="6">
        <f t="shared" ref="Q26" si="19">IF(P26="","",Q25+P26)</f>
        <v>4499</v>
      </c>
      <c r="R26" s="42" t="s">
        <v>23</v>
      </c>
    </row>
    <row r="27" spans="1:18" ht="15.95" customHeight="1" x14ac:dyDescent="0.25">
      <c r="A27" s="47"/>
      <c r="B27" s="55"/>
      <c r="C27" s="9"/>
      <c r="D27" s="136"/>
      <c r="E27" s="56"/>
      <c r="F27" s="57"/>
      <c r="G27" s="8">
        <v>46159</v>
      </c>
      <c r="H27" s="9">
        <v>20</v>
      </c>
      <c r="I27" s="9"/>
      <c r="J27" s="9">
        <v>23</v>
      </c>
      <c r="K27" s="9">
        <v>40</v>
      </c>
      <c r="L27" s="9">
        <v>40</v>
      </c>
      <c r="M27" s="9">
        <v>40</v>
      </c>
      <c r="N27" s="9">
        <v>60</v>
      </c>
      <c r="O27" s="9">
        <v>40</v>
      </c>
      <c r="P27" s="6">
        <f t="shared" ref="P27" si="20">IF(G27="","",SUM(K27:O27))</f>
        <v>220</v>
      </c>
      <c r="Q27" s="6">
        <f t="shared" ref="Q27" si="21">IF(P27="","",Q26+P27)</f>
        <v>4719</v>
      </c>
      <c r="R27" s="42" t="s">
        <v>23</v>
      </c>
    </row>
    <row r="28" spans="1:18" ht="15.95" customHeight="1" x14ac:dyDescent="0.25">
      <c r="A28" s="47"/>
      <c r="B28" s="55"/>
      <c r="C28" s="9"/>
      <c r="D28" s="136"/>
      <c r="E28" s="56"/>
      <c r="F28" s="57"/>
      <c r="G28" s="8">
        <v>46159</v>
      </c>
      <c r="H28" s="9">
        <v>20</v>
      </c>
      <c r="I28" s="9"/>
      <c r="J28" s="9">
        <v>24</v>
      </c>
      <c r="K28" s="9">
        <v>40</v>
      </c>
      <c r="L28" s="9">
        <v>40</v>
      </c>
      <c r="M28" s="9">
        <v>40</v>
      </c>
      <c r="N28" s="9">
        <v>60</v>
      </c>
      <c r="O28" s="9">
        <v>40</v>
      </c>
      <c r="P28" s="6">
        <f t="shared" ref="P28:P29" si="22">IF(G28="","",SUM(K28:O28))</f>
        <v>220</v>
      </c>
      <c r="Q28" s="6">
        <f t="shared" ref="Q28:Q29" si="23">IF(P28="","",Q27+P28)</f>
        <v>4939</v>
      </c>
      <c r="R28" s="42" t="s">
        <v>23</v>
      </c>
    </row>
    <row r="29" spans="1:18" ht="15.95" customHeight="1" x14ac:dyDescent="0.25">
      <c r="A29" s="47"/>
      <c r="B29" s="55"/>
      <c r="C29" s="9"/>
      <c r="D29" s="136"/>
      <c r="E29" s="56"/>
      <c r="F29" s="57"/>
      <c r="G29" s="8">
        <v>46159</v>
      </c>
      <c r="H29" s="9">
        <v>20</v>
      </c>
      <c r="I29" s="9"/>
      <c r="J29" s="9">
        <v>25</v>
      </c>
      <c r="K29" s="9">
        <v>40</v>
      </c>
      <c r="L29" s="9">
        <v>40</v>
      </c>
      <c r="M29" s="9">
        <v>40</v>
      </c>
      <c r="N29" s="9">
        <v>60</v>
      </c>
      <c r="O29" s="9">
        <v>40</v>
      </c>
      <c r="P29" s="6">
        <f t="shared" si="22"/>
        <v>220</v>
      </c>
      <c r="Q29" s="6">
        <f t="shared" si="23"/>
        <v>5159</v>
      </c>
      <c r="R29" s="42" t="s">
        <v>23</v>
      </c>
    </row>
    <row r="30" spans="1:18" ht="15.95" customHeight="1" x14ac:dyDescent="0.25">
      <c r="A30" s="47"/>
      <c r="B30" s="55"/>
      <c r="C30" s="9"/>
      <c r="D30" s="136"/>
      <c r="E30" s="56"/>
      <c r="F30" s="57"/>
      <c r="G30" s="8">
        <v>46159</v>
      </c>
      <c r="H30" s="9">
        <v>20</v>
      </c>
      <c r="I30" s="9"/>
      <c r="J30" s="9">
        <v>26</v>
      </c>
      <c r="K30" s="9">
        <v>40</v>
      </c>
      <c r="L30" s="9">
        <v>40</v>
      </c>
      <c r="M30" s="9">
        <v>40</v>
      </c>
      <c r="N30" s="9">
        <v>60</v>
      </c>
      <c r="O30" s="9">
        <v>40</v>
      </c>
      <c r="P30" s="6">
        <f t="shared" ref="P30" si="24">IF(G30="","",SUM(K30:O30))</f>
        <v>220</v>
      </c>
      <c r="Q30" s="6">
        <f t="shared" ref="Q30" si="25">IF(P30="","",Q29+P30)</f>
        <v>5379</v>
      </c>
      <c r="R30" s="42" t="s">
        <v>23</v>
      </c>
    </row>
    <row r="31" spans="1:18" ht="15.95" customHeight="1" x14ac:dyDescent="0.25">
      <c r="A31" s="47"/>
      <c r="B31" s="55"/>
      <c r="C31" s="9"/>
      <c r="D31" s="136"/>
      <c r="E31" s="56"/>
      <c r="F31" s="57"/>
      <c r="G31" s="8">
        <v>46160</v>
      </c>
      <c r="H31" s="9">
        <v>20</v>
      </c>
      <c r="I31" s="9"/>
      <c r="J31" s="9">
        <v>27</v>
      </c>
      <c r="K31" s="9">
        <v>40</v>
      </c>
      <c r="L31" s="9">
        <v>40</v>
      </c>
      <c r="M31" s="9">
        <v>40</v>
      </c>
      <c r="N31" s="9">
        <v>60</v>
      </c>
      <c r="O31" s="9">
        <v>40</v>
      </c>
      <c r="P31" s="6">
        <f t="shared" ref="P31" si="26">IF(G31="","",SUM(K31:O31))</f>
        <v>220</v>
      </c>
      <c r="Q31" s="6">
        <f t="shared" ref="Q31" si="27">IF(P31="","",Q30+P31)</f>
        <v>5599</v>
      </c>
      <c r="R31" s="42" t="s">
        <v>23</v>
      </c>
    </row>
    <row r="32" spans="1:18" ht="15.95" customHeight="1" x14ac:dyDescent="0.25">
      <c r="A32" s="47"/>
      <c r="B32" s="55"/>
      <c r="C32" s="9"/>
      <c r="D32" s="136"/>
      <c r="E32" s="56"/>
      <c r="F32" s="57"/>
      <c r="G32" s="8">
        <v>46160</v>
      </c>
      <c r="H32" s="9">
        <v>20</v>
      </c>
      <c r="I32" s="9"/>
      <c r="J32" s="9">
        <v>28</v>
      </c>
      <c r="K32" s="9">
        <v>40</v>
      </c>
      <c r="L32" s="9">
        <v>40</v>
      </c>
      <c r="M32" s="9">
        <v>40</v>
      </c>
      <c r="N32" s="9">
        <v>60</v>
      </c>
      <c r="O32" s="9">
        <v>40</v>
      </c>
      <c r="P32" s="6">
        <f t="shared" ref="P32:P33" si="28">IF(G32="","",SUM(K32:O32))</f>
        <v>220</v>
      </c>
      <c r="Q32" s="6">
        <f t="shared" ref="Q32:Q33" si="29">IF(P32="","",Q31+P32)</f>
        <v>5819</v>
      </c>
      <c r="R32" s="42" t="s">
        <v>23</v>
      </c>
    </row>
    <row r="33" spans="1:18" ht="15.95" customHeight="1" x14ac:dyDescent="0.25">
      <c r="A33" s="47"/>
      <c r="B33" s="55"/>
      <c r="C33" s="9"/>
      <c r="D33" s="136"/>
      <c r="E33" s="56"/>
      <c r="F33" s="57"/>
      <c r="G33" s="8">
        <v>46160</v>
      </c>
      <c r="H33" s="9">
        <v>20</v>
      </c>
      <c r="I33" s="9"/>
      <c r="J33" s="9">
        <v>29</v>
      </c>
      <c r="K33" s="9">
        <v>40</v>
      </c>
      <c r="L33" s="9">
        <v>40</v>
      </c>
      <c r="M33" s="9">
        <v>40</v>
      </c>
      <c r="N33" s="9">
        <v>60</v>
      </c>
      <c r="O33" s="9">
        <v>40</v>
      </c>
      <c r="P33" s="6">
        <f t="shared" si="28"/>
        <v>220</v>
      </c>
      <c r="Q33" s="6">
        <f t="shared" si="29"/>
        <v>6039</v>
      </c>
      <c r="R33" s="42" t="s">
        <v>23</v>
      </c>
    </row>
    <row r="34" spans="1:18" ht="15.95" customHeight="1" x14ac:dyDescent="0.25">
      <c r="A34" s="47"/>
      <c r="B34" s="55"/>
      <c r="C34" s="9"/>
      <c r="D34" s="136"/>
      <c r="E34" s="56"/>
      <c r="F34" s="57"/>
      <c r="G34" s="8">
        <v>46160</v>
      </c>
      <c r="H34" s="9">
        <v>20</v>
      </c>
      <c r="I34" s="9"/>
      <c r="J34" s="9">
        <v>30</v>
      </c>
      <c r="K34" s="9">
        <v>40</v>
      </c>
      <c r="L34" s="9">
        <v>40</v>
      </c>
      <c r="M34" s="9">
        <v>40</v>
      </c>
      <c r="N34" s="9">
        <v>60</v>
      </c>
      <c r="O34" s="9">
        <v>40</v>
      </c>
      <c r="P34" s="6">
        <f t="shared" ref="P34:P35" si="30">IF(G34="","",SUM(K34:O34))</f>
        <v>220</v>
      </c>
      <c r="Q34" s="6">
        <f t="shared" ref="Q34:Q35" si="31">IF(P34="","",Q33+P34)</f>
        <v>6259</v>
      </c>
      <c r="R34" s="42" t="s">
        <v>23</v>
      </c>
    </row>
    <row r="35" spans="1:18" ht="15.95" customHeight="1" x14ac:dyDescent="0.25">
      <c r="A35" s="47"/>
      <c r="B35" s="55"/>
      <c r="C35" s="9"/>
      <c r="D35" s="136"/>
      <c r="E35" s="56"/>
      <c r="F35" s="57"/>
      <c r="G35" s="8">
        <v>46160</v>
      </c>
      <c r="H35" s="9">
        <v>20</v>
      </c>
      <c r="I35" s="9"/>
      <c r="J35" s="9">
        <v>31</v>
      </c>
      <c r="K35" s="9">
        <v>40</v>
      </c>
      <c r="L35" s="9">
        <v>40</v>
      </c>
      <c r="M35" s="9">
        <v>40</v>
      </c>
      <c r="N35" s="9">
        <v>60</v>
      </c>
      <c r="O35" s="9">
        <v>40</v>
      </c>
      <c r="P35" s="6">
        <f t="shared" si="30"/>
        <v>220</v>
      </c>
      <c r="Q35" s="6">
        <f t="shared" si="31"/>
        <v>6479</v>
      </c>
      <c r="R35" s="42" t="s">
        <v>23</v>
      </c>
    </row>
    <row r="36" spans="1:18" ht="15.95" customHeight="1" x14ac:dyDescent="0.25">
      <c r="A36" s="47"/>
      <c r="B36" s="55"/>
      <c r="C36" s="9"/>
      <c r="D36" s="136"/>
      <c r="E36" s="56"/>
      <c r="F36" s="57"/>
      <c r="G36" s="118">
        <v>46160</v>
      </c>
      <c r="H36" s="119">
        <v>20</v>
      </c>
      <c r="I36" s="119"/>
      <c r="J36" s="119">
        <v>32</v>
      </c>
      <c r="K36" s="119">
        <v>40</v>
      </c>
      <c r="L36" s="119">
        <v>40</v>
      </c>
      <c r="M36" s="119">
        <v>40</v>
      </c>
      <c r="N36" s="119">
        <v>60</v>
      </c>
      <c r="O36" s="119">
        <v>40</v>
      </c>
      <c r="P36" s="120">
        <f t="shared" ref="P36:P37" si="32">IF(G36="","",SUM(K36:O36))</f>
        <v>220</v>
      </c>
      <c r="Q36" s="120">
        <f t="shared" ref="Q36:Q37" si="33">IF(P36="","",Q35+P36)</f>
        <v>6699</v>
      </c>
      <c r="R36" s="121" t="s">
        <v>23</v>
      </c>
    </row>
    <row r="37" spans="1:18" ht="15.95" customHeight="1" x14ac:dyDescent="0.25">
      <c r="A37" s="47"/>
      <c r="B37" s="55"/>
      <c r="C37" s="9"/>
      <c r="D37" s="136"/>
      <c r="E37" s="56"/>
      <c r="F37" s="57"/>
      <c r="G37" s="8">
        <v>46160</v>
      </c>
      <c r="H37" s="9">
        <v>20</v>
      </c>
      <c r="I37" s="9"/>
      <c r="J37" s="9">
        <v>33</v>
      </c>
      <c r="K37" s="9">
        <v>40</v>
      </c>
      <c r="L37" s="9">
        <v>40</v>
      </c>
      <c r="M37" s="9">
        <v>40</v>
      </c>
      <c r="N37" s="9">
        <v>60</v>
      </c>
      <c r="O37" s="9">
        <v>40</v>
      </c>
      <c r="P37" s="6">
        <f t="shared" si="32"/>
        <v>220</v>
      </c>
      <c r="Q37" s="6">
        <f t="shared" si="33"/>
        <v>6919</v>
      </c>
      <c r="R37" s="42" t="s">
        <v>23</v>
      </c>
    </row>
    <row r="38" spans="1:18" ht="15.95" customHeight="1" x14ac:dyDescent="0.25">
      <c r="A38" s="47"/>
      <c r="B38" s="55"/>
      <c r="C38" s="9"/>
      <c r="D38" s="136"/>
      <c r="E38" s="56"/>
      <c r="F38" s="57"/>
      <c r="G38" s="8">
        <v>46161</v>
      </c>
      <c r="H38" s="9">
        <v>20</v>
      </c>
      <c r="I38" s="9"/>
      <c r="J38" s="9">
        <v>34</v>
      </c>
      <c r="K38" s="9">
        <v>40</v>
      </c>
      <c r="L38" s="9">
        <v>40</v>
      </c>
      <c r="M38" s="9">
        <v>40</v>
      </c>
      <c r="N38" s="9">
        <v>60</v>
      </c>
      <c r="O38" s="9">
        <v>40</v>
      </c>
      <c r="P38" s="6">
        <f t="shared" ref="P38:P40" si="34">IF(G38="","",SUM(K38:O38))</f>
        <v>220</v>
      </c>
      <c r="Q38" s="6">
        <f t="shared" ref="Q38:Q40" si="35">IF(P38="","",Q37+P38)</f>
        <v>7139</v>
      </c>
      <c r="R38" s="42" t="s">
        <v>23</v>
      </c>
    </row>
    <row r="39" spans="1:18" ht="15.95" customHeight="1" x14ac:dyDescent="0.25">
      <c r="A39" s="47"/>
      <c r="B39" s="55"/>
      <c r="C39" s="9"/>
      <c r="D39" s="136"/>
      <c r="E39" s="56"/>
      <c r="F39" s="57"/>
      <c r="G39" s="8">
        <v>46161</v>
      </c>
      <c r="H39" s="9">
        <v>11</v>
      </c>
      <c r="I39" s="9"/>
      <c r="J39" s="9">
        <v>35</v>
      </c>
      <c r="K39" s="9">
        <v>22</v>
      </c>
      <c r="L39" s="9">
        <v>22</v>
      </c>
      <c r="M39" s="9">
        <v>22</v>
      </c>
      <c r="N39" s="9">
        <f>11*3</f>
        <v>33</v>
      </c>
      <c r="O39" s="9">
        <v>22</v>
      </c>
      <c r="P39" s="6">
        <f t="shared" si="34"/>
        <v>121</v>
      </c>
      <c r="Q39" s="6">
        <f t="shared" si="35"/>
        <v>7260</v>
      </c>
      <c r="R39" s="42" t="s">
        <v>23</v>
      </c>
    </row>
    <row r="40" spans="1:18" ht="15.95" customHeight="1" thickBot="1" x14ac:dyDescent="0.3">
      <c r="A40" s="47"/>
      <c r="B40" s="55"/>
      <c r="C40" s="9"/>
      <c r="D40" s="137"/>
      <c r="E40" s="56"/>
      <c r="F40" s="57"/>
      <c r="G40" s="72"/>
      <c r="H40" s="73"/>
      <c r="I40" s="73"/>
      <c r="J40" s="73"/>
      <c r="K40" s="9"/>
      <c r="L40" s="73"/>
      <c r="M40" s="73"/>
      <c r="N40" s="73"/>
      <c r="O40" s="73"/>
      <c r="P40" s="6" t="str">
        <f t="shared" si="34"/>
        <v/>
      </c>
      <c r="Q40" s="6" t="str">
        <f t="shared" si="35"/>
        <v/>
      </c>
      <c r="R40" s="74"/>
    </row>
    <row r="41" spans="1:18" ht="19.5" customHeight="1" thickBot="1" x14ac:dyDescent="0.3">
      <c r="A41" s="48"/>
      <c r="B41" s="58"/>
      <c r="C41" s="58"/>
      <c r="D41" s="138"/>
      <c r="E41" s="59"/>
      <c r="F41" s="58"/>
      <c r="G41" s="19"/>
      <c r="H41" s="20"/>
      <c r="I41" s="21"/>
      <c r="J41" s="22" t="s">
        <v>11</v>
      </c>
      <c r="K41" s="38">
        <f>SUM(K5:K40)</f>
        <v>1320</v>
      </c>
      <c r="L41" s="38">
        <f>SUM(L5:L40)</f>
        <v>1320</v>
      </c>
      <c r="M41" s="38">
        <f>SUM(M5:M40)</f>
        <v>1320</v>
      </c>
      <c r="N41" s="38">
        <f>SUM(N5:N40)</f>
        <v>1980</v>
      </c>
      <c r="O41" s="38">
        <f>SUM(O5:O40)</f>
        <v>1320</v>
      </c>
      <c r="P41" s="38">
        <f>SUM(K41:O41)</f>
        <v>7260</v>
      </c>
      <c r="Q41" s="23"/>
      <c r="R41" s="82"/>
    </row>
    <row r="42" spans="1:18" ht="18.75" customHeight="1" thickBot="1" x14ac:dyDescent="0.3">
      <c r="A42" s="49"/>
      <c r="B42" s="60"/>
      <c r="C42" s="60"/>
      <c r="D42" s="139"/>
      <c r="E42" s="60"/>
      <c r="F42" s="60"/>
      <c r="G42" s="24"/>
      <c r="H42" s="24"/>
      <c r="I42" s="25"/>
      <c r="J42" s="26" t="s">
        <v>12</v>
      </c>
      <c r="K42" s="39">
        <f>IF(K3="","",K41-K3)</f>
        <v>14</v>
      </c>
      <c r="L42" s="39">
        <f>IF(L3="","",L41-L3)</f>
        <v>14</v>
      </c>
      <c r="M42" s="39">
        <f>IF(M3="","",M41-M3)</f>
        <v>14</v>
      </c>
      <c r="N42" s="39">
        <f>IF(N3="","",N41-N3)</f>
        <v>21</v>
      </c>
      <c r="O42" s="39">
        <f>IF(O3="","",O41-O3)</f>
        <v>14</v>
      </c>
      <c r="P42" s="39">
        <f>SUM(K42:O42)</f>
        <v>77</v>
      </c>
      <c r="Q42" s="27"/>
      <c r="R42" s="83"/>
    </row>
    <row r="43" spans="1:18" ht="15.75" customHeight="1" x14ac:dyDescent="0.25">
      <c r="I43"/>
      <c r="J43" s="71">
        <v>42</v>
      </c>
      <c r="K43" s="28">
        <f>SUM(K5:K39)</f>
        <v>1320</v>
      </c>
      <c r="L43" s="28">
        <f t="shared" ref="L43:P43" si="36">SUM(L5:L39)</f>
        <v>1320</v>
      </c>
      <c r="M43" s="28">
        <f t="shared" si="36"/>
        <v>1320</v>
      </c>
      <c r="N43" s="28">
        <f t="shared" si="36"/>
        <v>1980</v>
      </c>
      <c r="O43" s="28">
        <f t="shared" si="36"/>
        <v>1320</v>
      </c>
      <c r="P43" s="28">
        <f t="shared" si="36"/>
        <v>7260</v>
      </c>
      <c r="Q43" s="92"/>
    </row>
    <row r="44" spans="1:18" s="1" customFormat="1" ht="18.75" customHeight="1" thickBot="1" x14ac:dyDescent="0.35">
      <c r="A44" s="46"/>
      <c r="B44" s="41"/>
      <c r="C44" s="41"/>
      <c r="D44" s="133"/>
      <c r="E44" s="41"/>
      <c r="F44" s="41"/>
      <c r="I44" s="90" t="s">
        <v>26</v>
      </c>
      <c r="K44" s="30"/>
      <c r="L44" s="30"/>
      <c r="M44" s="30"/>
      <c r="N44" s="30"/>
      <c r="O44" s="30"/>
      <c r="P44" s="30"/>
      <c r="Q44" s="30"/>
      <c r="R44" s="81"/>
    </row>
    <row r="45" spans="1:18" s="2" customFormat="1" ht="27.75" customHeight="1" thickBot="1" x14ac:dyDescent="0.25">
      <c r="A45" s="91"/>
      <c r="B45" s="51"/>
      <c r="C45" s="51"/>
      <c r="D45" s="134"/>
      <c r="E45" s="52"/>
      <c r="F45" s="53"/>
      <c r="G45" s="15"/>
      <c r="H45" s="15"/>
      <c r="I45" s="15"/>
      <c r="J45" s="16" t="s">
        <v>16</v>
      </c>
      <c r="K45" s="17">
        <v>2828</v>
      </c>
      <c r="L45" s="17">
        <v>2828</v>
      </c>
      <c r="M45" s="17">
        <v>2828</v>
      </c>
      <c r="N45" s="17">
        <v>4242</v>
      </c>
      <c r="O45" s="17">
        <v>2828</v>
      </c>
      <c r="P45" s="18">
        <f>SUM(K45:O45)</f>
        <v>15554</v>
      </c>
      <c r="Q45" s="37"/>
      <c r="R45" s="76"/>
    </row>
    <row r="46" spans="1:18" s="13" customFormat="1" ht="31.5" customHeight="1" thickBot="1" x14ac:dyDescent="0.2">
      <c r="A46" s="44" t="s">
        <v>17</v>
      </c>
      <c r="B46" s="50" t="s">
        <v>13</v>
      </c>
      <c r="C46" s="50" t="s">
        <v>14</v>
      </c>
      <c r="D46" s="135" t="s">
        <v>9</v>
      </c>
      <c r="E46" s="50" t="s">
        <v>22</v>
      </c>
      <c r="F46" s="50" t="s">
        <v>8</v>
      </c>
      <c r="G46" s="10" t="s">
        <v>7</v>
      </c>
      <c r="H46" s="10" t="s">
        <v>5</v>
      </c>
      <c r="I46" s="10" t="s">
        <v>6</v>
      </c>
      <c r="J46" s="11" t="s">
        <v>4</v>
      </c>
      <c r="K46" s="14" t="s">
        <v>28</v>
      </c>
      <c r="L46" s="14" t="s">
        <v>29</v>
      </c>
      <c r="M46" s="14" t="s">
        <v>1</v>
      </c>
      <c r="N46" s="14" t="s">
        <v>24</v>
      </c>
      <c r="O46" s="14" t="s">
        <v>25</v>
      </c>
      <c r="P46" s="12" t="s">
        <v>10</v>
      </c>
      <c r="Q46" s="12" t="s">
        <v>3</v>
      </c>
      <c r="R46" s="85" t="s">
        <v>0</v>
      </c>
    </row>
    <row r="47" spans="1:18" s="3" customFormat="1" ht="15.95" customHeight="1" x14ac:dyDescent="0.2">
      <c r="A47" s="86" t="s">
        <v>32</v>
      </c>
      <c r="B47" s="87" t="s">
        <v>31</v>
      </c>
      <c r="C47" s="87">
        <v>14222</v>
      </c>
      <c r="D47" s="87" t="s">
        <v>34</v>
      </c>
      <c r="E47" s="88">
        <f>P45</f>
        <v>15554</v>
      </c>
      <c r="F47" s="89"/>
      <c r="G47" s="4">
        <v>46161</v>
      </c>
      <c r="H47" s="5">
        <v>20</v>
      </c>
      <c r="I47" s="5"/>
      <c r="J47" s="5">
        <v>36</v>
      </c>
      <c r="K47" s="5">
        <f>20*2</f>
        <v>40</v>
      </c>
      <c r="L47" s="5">
        <f t="shared" ref="L47:O70" si="37">20*2</f>
        <v>40</v>
      </c>
      <c r="M47" s="5">
        <f t="shared" si="37"/>
        <v>40</v>
      </c>
      <c r="N47" s="5">
        <f>20*3</f>
        <v>60</v>
      </c>
      <c r="O47" s="5">
        <f t="shared" si="37"/>
        <v>40</v>
      </c>
      <c r="P47" s="6">
        <f>IF(G47="","",SUM(K47:O47))</f>
        <v>220</v>
      </c>
      <c r="Q47" s="7">
        <f>IF(P47="","",P47)</f>
        <v>220</v>
      </c>
      <c r="R47" s="79" t="s">
        <v>23</v>
      </c>
    </row>
    <row r="48" spans="1:18" ht="15.95" customHeight="1" x14ac:dyDescent="0.25">
      <c r="A48" s="47" t="s">
        <v>37</v>
      </c>
      <c r="B48" s="55"/>
      <c r="C48" s="9"/>
      <c r="D48" s="136" t="s">
        <v>43</v>
      </c>
      <c r="E48" s="56"/>
      <c r="F48" s="57"/>
      <c r="G48" s="4">
        <v>46161</v>
      </c>
      <c r="H48" s="5">
        <v>20</v>
      </c>
      <c r="I48" s="5"/>
      <c r="J48" s="5">
        <v>37</v>
      </c>
      <c r="K48" s="5">
        <f>20*2</f>
        <v>40</v>
      </c>
      <c r="L48" s="5">
        <f t="shared" si="37"/>
        <v>40</v>
      </c>
      <c r="M48" s="5">
        <f t="shared" si="37"/>
        <v>40</v>
      </c>
      <c r="N48" s="5">
        <f>20*3</f>
        <v>60</v>
      </c>
      <c r="O48" s="5">
        <f t="shared" si="37"/>
        <v>40</v>
      </c>
      <c r="P48" s="6">
        <f>IF(G48="","",SUM(K48:O48))</f>
        <v>220</v>
      </c>
      <c r="Q48" s="6">
        <f>IF(P48="","",Q47+P48)</f>
        <v>440</v>
      </c>
      <c r="R48" s="42" t="s">
        <v>23</v>
      </c>
    </row>
    <row r="49" spans="1:18" ht="15.95" customHeight="1" x14ac:dyDescent="0.25">
      <c r="A49" s="47"/>
      <c r="B49" s="55"/>
      <c r="C49" s="9"/>
      <c r="D49" s="137"/>
      <c r="E49" s="56"/>
      <c r="F49" s="57"/>
      <c r="G49" s="8">
        <v>46161</v>
      </c>
      <c r="H49" s="9">
        <v>20</v>
      </c>
      <c r="I49" s="9"/>
      <c r="J49" s="9">
        <v>38</v>
      </c>
      <c r="K49" s="5">
        <f>20*2</f>
        <v>40</v>
      </c>
      <c r="L49" s="5">
        <f t="shared" si="37"/>
        <v>40</v>
      </c>
      <c r="M49" s="5">
        <f t="shared" si="37"/>
        <v>40</v>
      </c>
      <c r="N49" s="5">
        <f>20*3</f>
        <v>60</v>
      </c>
      <c r="O49" s="5">
        <f t="shared" si="37"/>
        <v>40</v>
      </c>
      <c r="P49" s="6">
        <f>IF(G49="","",SUM(K49:O49))</f>
        <v>220</v>
      </c>
      <c r="Q49" s="6">
        <f>IF(P49="","",Q48+P49)</f>
        <v>660</v>
      </c>
      <c r="R49" s="42" t="s">
        <v>23</v>
      </c>
    </row>
    <row r="50" spans="1:18" ht="15.95" customHeight="1" x14ac:dyDescent="0.25">
      <c r="A50" s="47"/>
      <c r="B50" s="55"/>
      <c r="C50" s="9"/>
      <c r="D50" s="136"/>
      <c r="E50" s="56"/>
      <c r="F50" s="57"/>
      <c r="G50" s="4">
        <v>46161</v>
      </c>
      <c r="H50" s="5">
        <v>20</v>
      </c>
      <c r="I50" s="5"/>
      <c r="J50" s="5">
        <v>39</v>
      </c>
      <c r="K50" s="5">
        <f>20*2</f>
        <v>40</v>
      </c>
      <c r="L50" s="5">
        <f t="shared" si="37"/>
        <v>40</v>
      </c>
      <c r="M50" s="5">
        <f t="shared" si="37"/>
        <v>40</v>
      </c>
      <c r="N50" s="5">
        <f>20*3</f>
        <v>60</v>
      </c>
      <c r="O50" s="5">
        <f t="shared" si="37"/>
        <v>40</v>
      </c>
      <c r="P50" s="6">
        <f>IF(G50="","",SUM(K50:O50))</f>
        <v>220</v>
      </c>
      <c r="Q50" s="6">
        <f>IF(P50="","",Q49+P50)</f>
        <v>880</v>
      </c>
      <c r="R50" s="42" t="s">
        <v>23</v>
      </c>
    </row>
    <row r="51" spans="1:18" ht="15.95" customHeight="1" x14ac:dyDescent="0.25">
      <c r="A51" s="47"/>
      <c r="B51" s="55"/>
      <c r="C51" s="9"/>
      <c r="D51" s="136"/>
      <c r="E51" s="56"/>
      <c r="F51" s="57"/>
      <c r="G51" s="8">
        <v>46161</v>
      </c>
      <c r="H51" s="9">
        <v>20</v>
      </c>
      <c r="I51" s="9"/>
      <c r="J51" s="9">
        <v>40</v>
      </c>
      <c r="K51" s="5">
        <f t="shared" ref="K51:O82" si="38">20*2</f>
        <v>40</v>
      </c>
      <c r="L51" s="5">
        <f t="shared" si="37"/>
        <v>40</v>
      </c>
      <c r="M51" s="5">
        <f t="shared" si="37"/>
        <v>40</v>
      </c>
      <c r="N51" s="5">
        <f t="shared" ref="N51:N105" si="39">20*3</f>
        <v>60</v>
      </c>
      <c r="O51" s="5">
        <f t="shared" si="37"/>
        <v>40</v>
      </c>
      <c r="P51" s="6">
        <f t="shared" ref="P51:P53" si="40">IF(G51="","",SUM(K51:O51))</f>
        <v>220</v>
      </c>
      <c r="Q51" s="6">
        <f t="shared" ref="Q51:Q53" si="41">IF(P51="","",Q50+P51)</f>
        <v>1100</v>
      </c>
      <c r="R51" s="42" t="s">
        <v>23</v>
      </c>
    </row>
    <row r="52" spans="1:18" ht="15.95" customHeight="1" x14ac:dyDescent="0.25">
      <c r="A52" s="47"/>
      <c r="B52" s="55"/>
      <c r="C52" s="9"/>
      <c r="D52" s="136"/>
      <c r="E52" s="56"/>
      <c r="F52" s="57"/>
      <c r="G52" s="4">
        <v>46161</v>
      </c>
      <c r="H52" s="5">
        <v>20</v>
      </c>
      <c r="I52" s="5"/>
      <c r="J52" s="5">
        <v>41</v>
      </c>
      <c r="K52" s="5">
        <f t="shared" si="38"/>
        <v>40</v>
      </c>
      <c r="L52" s="5">
        <f t="shared" si="37"/>
        <v>40</v>
      </c>
      <c r="M52" s="5">
        <f t="shared" si="37"/>
        <v>40</v>
      </c>
      <c r="N52" s="5">
        <f t="shared" si="39"/>
        <v>60</v>
      </c>
      <c r="O52" s="5">
        <f t="shared" si="37"/>
        <v>40</v>
      </c>
      <c r="P52" s="6">
        <f t="shared" si="40"/>
        <v>220</v>
      </c>
      <c r="Q52" s="6">
        <f t="shared" si="41"/>
        <v>1320</v>
      </c>
      <c r="R52" s="42" t="s">
        <v>23</v>
      </c>
    </row>
    <row r="53" spans="1:18" ht="15.95" customHeight="1" x14ac:dyDescent="0.25">
      <c r="A53" s="47"/>
      <c r="B53" s="55"/>
      <c r="C53" s="9"/>
      <c r="D53" s="136"/>
      <c r="E53" s="56"/>
      <c r="F53" s="57"/>
      <c r="G53" s="8">
        <v>46161</v>
      </c>
      <c r="H53" s="9">
        <v>20</v>
      </c>
      <c r="I53" s="9"/>
      <c r="J53" s="9">
        <v>42</v>
      </c>
      <c r="K53" s="5">
        <f t="shared" si="38"/>
        <v>40</v>
      </c>
      <c r="L53" s="5">
        <f t="shared" si="37"/>
        <v>40</v>
      </c>
      <c r="M53" s="5">
        <f t="shared" si="37"/>
        <v>40</v>
      </c>
      <c r="N53" s="5">
        <f t="shared" si="39"/>
        <v>60</v>
      </c>
      <c r="O53" s="5">
        <f t="shared" si="37"/>
        <v>40</v>
      </c>
      <c r="P53" s="6">
        <f t="shared" si="40"/>
        <v>220</v>
      </c>
      <c r="Q53" s="6">
        <f t="shared" si="41"/>
        <v>1540</v>
      </c>
      <c r="R53" s="42" t="s">
        <v>23</v>
      </c>
    </row>
    <row r="54" spans="1:18" ht="15.95" customHeight="1" x14ac:dyDescent="0.25">
      <c r="A54" s="47"/>
      <c r="B54" s="55"/>
      <c r="C54" s="9"/>
      <c r="D54" s="136"/>
      <c r="E54" s="56"/>
      <c r="F54" s="57"/>
      <c r="G54" s="8">
        <v>46161</v>
      </c>
      <c r="H54" s="9">
        <v>20</v>
      </c>
      <c r="I54" s="9"/>
      <c r="J54" s="9">
        <v>43</v>
      </c>
      <c r="K54" s="5">
        <f>20*2</f>
        <v>40</v>
      </c>
      <c r="L54" s="5">
        <f t="shared" si="37"/>
        <v>40</v>
      </c>
      <c r="M54" s="5">
        <f t="shared" si="37"/>
        <v>40</v>
      </c>
      <c r="N54" s="5">
        <f>20*3</f>
        <v>60</v>
      </c>
      <c r="O54" s="5">
        <f t="shared" si="37"/>
        <v>40</v>
      </c>
      <c r="P54" s="6">
        <f t="shared" ref="P54:P56" si="42">IF(G54="","",SUM(K54:O54))</f>
        <v>220</v>
      </c>
      <c r="Q54" s="6">
        <f t="shared" ref="Q54:Q56" si="43">IF(P54="","",Q53+P54)</f>
        <v>1760</v>
      </c>
      <c r="R54" s="42" t="s">
        <v>23</v>
      </c>
    </row>
    <row r="55" spans="1:18" ht="15.95" customHeight="1" x14ac:dyDescent="0.25">
      <c r="A55" s="47"/>
      <c r="B55" s="55"/>
      <c r="C55" s="9"/>
      <c r="D55" s="136"/>
      <c r="E55" s="56"/>
      <c r="F55" s="57"/>
      <c r="G55" s="8">
        <v>46161</v>
      </c>
      <c r="H55" s="9">
        <v>20</v>
      </c>
      <c r="I55" s="9"/>
      <c r="J55" s="9">
        <v>44</v>
      </c>
      <c r="K55" s="5">
        <f t="shared" si="38"/>
        <v>40</v>
      </c>
      <c r="L55" s="5">
        <f t="shared" si="37"/>
        <v>40</v>
      </c>
      <c r="M55" s="5">
        <f t="shared" si="37"/>
        <v>40</v>
      </c>
      <c r="N55" s="5">
        <f t="shared" si="39"/>
        <v>60</v>
      </c>
      <c r="O55" s="5">
        <f t="shared" si="37"/>
        <v>40</v>
      </c>
      <c r="P55" s="6">
        <f t="shared" si="42"/>
        <v>220</v>
      </c>
      <c r="Q55" s="6">
        <f t="shared" si="43"/>
        <v>1980</v>
      </c>
      <c r="R55" s="42" t="s">
        <v>23</v>
      </c>
    </row>
    <row r="56" spans="1:18" ht="15.95" customHeight="1" x14ac:dyDescent="0.25">
      <c r="A56" s="47"/>
      <c r="B56" s="55"/>
      <c r="C56" s="9"/>
      <c r="D56" s="136"/>
      <c r="E56" s="56"/>
      <c r="F56" s="57"/>
      <c r="G56" s="8">
        <v>46162</v>
      </c>
      <c r="H56" s="9">
        <v>20</v>
      </c>
      <c r="I56" s="9"/>
      <c r="J56" s="9">
        <v>45</v>
      </c>
      <c r="K56" s="5">
        <f t="shared" si="38"/>
        <v>40</v>
      </c>
      <c r="L56" s="5">
        <f t="shared" si="37"/>
        <v>40</v>
      </c>
      <c r="M56" s="5">
        <f t="shared" si="37"/>
        <v>40</v>
      </c>
      <c r="N56" s="5">
        <f t="shared" si="39"/>
        <v>60</v>
      </c>
      <c r="O56" s="5">
        <f t="shared" si="37"/>
        <v>40</v>
      </c>
      <c r="P56" s="6">
        <f t="shared" si="42"/>
        <v>220</v>
      </c>
      <c r="Q56" s="6">
        <f t="shared" si="43"/>
        <v>2200</v>
      </c>
      <c r="R56" s="42" t="s">
        <v>23</v>
      </c>
    </row>
    <row r="57" spans="1:18" ht="15.95" customHeight="1" x14ac:dyDescent="0.25">
      <c r="A57" s="47"/>
      <c r="B57" s="55"/>
      <c r="C57" s="9"/>
      <c r="D57" s="136"/>
      <c r="E57" s="56"/>
      <c r="F57" s="57"/>
      <c r="G57" s="8">
        <v>46162</v>
      </c>
      <c r="H57" s="9">
        <v>20</v>
      </c>
      <c r="I57" s="9"/>
      <c r="J57" s="9">
        <v>46</v>
      </c>
      <c r="K57" s="5">
        <f t="shared" si="38"/>
        <v>40</v>
      </c>
      <c r="L57" s="5">
        <f t="shared" si="37"/>
        <v>40</v>
      </c>
      <c r="M57" s="5">
        <f t="shared" si="37"/>
        <v>40</v>
      </c>
      <c r="N57" s="5">
        <f t="shared" si="39"/>
        <v>60</v>
      </c>
      <c r="O57" s="5">
        <f t="shared" si="37"/>
        <v>40</v>
      </c>
      <c r="P57" s="6">
        <f t="shared" ref="P57" si="44">IF(G57="","",SUM(K57:O57))</f>
        <v>220</v>
      </c>
      <c r="Q57" s="6">
        <f t="shared" ref="Q57" si="45">IF(P57="","",Q56+P57)</f>
        <v>2420</v>
      </c>
      <c r="R57" s="42" t="s">
        <v>23</v>
      </c>
    </row>
    <row r="58" spans="1:18" ht="15.95" customHeight="1" x14ac:dyDescent="0.25">
      <c r="A58" s="47"/>
      <c r="B58" s="55"/>
      <c r="C58" s="9"/>
      <c r="D58" s="136"/>
      <c r="E58" s="56"/>
      <c r="F58" s="57"/>
      <c r="G58" s="8">
        <v>46162</v>
      </c>
      <c r="H58" s="9">
        <v>20</v>
      </c>
      <c r="I58" s="9"/>
      <c r="J58" s="9">
        <v>47</v>
      </c>
      <c r="K58" s="5">
        <v>40</v>
      </c>
      <c r="L58" s="5">
        <v>40</v>
      </c>
      <c r="M58" s="5">
        <v>40</v>
      </c>
      <c r="N58" s="5">
        <v>60</v>
      </c>
      <c r="O58" s="5">
        <v>40</v>
      </c>
      <c r="P58" s="6">
        <f t="shared" ref="P58:P59" si="46">IF(G58="","",SUM(K58:O58))</f>
        <v>220</v>
      </c>
      <c r="Q58" s="6">
        <f t="shared" ref="Q58:Q59" si="47">IF(P58="","",Q57+P58)</f>
        <v>2640</v>
      </c>
      <c r="R58" s="42" t="s">
        <v>23</v>
      </c>
    </row>
    <row r="59" spans="1:18" ht="15.95" customHeight="1" x14ac:dyDescent="0.25">
      <c r="A59" s="47"/>
      <c r="B59" s="55"/>
      <c r="C59" s="9"/>
      <c r="D59" s="136"/>
      <c r="E59" s="56"/>
      <c r="F59" s="57"/>
      <c r="G59" s="8">
        <v>46162</v>
      </c>
      <c r="H59" s="9">
        <v>20</v>
      </c>
      <c r="I59" s="9"/>
      <c r="J59" s="9">
        <v>48</v>
      </c>
      <c r="K59" s="5">
        <f t="shared" si="38"/>
        <v>40</v>
      </c>
      <c r="L59" s="5">
        <f t="shared" si="37"/>
        <v>40</v>
      </c>
      <c r="M59" s="5">
        <f t="shared" si="37"/>
        <v>40</v>
      </c>
      <c r="N59" s="5">
        <f t="shared" si="39"/>
        <v>60</v>
      </c>
      <c r="O59" s="5">
        <f t="shared" si="37"/>
        <v>40</v>
      </c>
      <c r="P59" s="6">
        <f t="shared" si="46"/>
        <v>220</v>
      </c>
      <c r="Q59" s="6">
        <f t="shared" si="47"/>
        <v>2860</v>
      </c>
      <c r="R59" s="42" t="s">
        <v>23</v>
      </c>
    </row>
    <row r="60" spans="1:18" ht="15.95" customHeight="1" x14ac:dyDescent="0.25">
      <c r="A60" s="47"/>
      <c r="B60" s="55"/>
      <c r="C60" s="9"/>
      <c r="D60" s="136"/>
      <c r="E60" s="56"/>
      <c r="F60" s="57"/>
      <c r="G60" s="8">
        <v>46162</v>
      </c>
      <c r="H60" s="9">
        <v>20</v>
      </c>
      <c r="I60" s="9"/>
      <c r="J60" s="9">
        <v>49</v>
      </c>
      <c r="K60" s="5">
        <v>40</v>
      </c>
      <c r="L60" s="5">
        <v>40</v>
      </c>
      <c r="M60" s="5">
        <v>40</v>
      </c>
      <c r="N60" s="5">
        <v>60</v>
      </c>
      <c r="O60" s="5">
        <v>40</v>
      </c>
      <c r="P60" s="6">
        <f t="shared" ref="P60:P61" si="48">IF(G60="","",SUM(K60:O60))</f>
        <v>220</v>
      </c>
      <c r="Q60" s="6">
        <f t="shared" ref="Q60:Q61" si="49">IF(P60="","",Q59+P60)</f>
        <v>3080</v>
      </c>
      <c r="R60" s="42" t="s">
        <v>23</v>
      </c>
    </row>
    <row r="61" spans="1:18" ht="15.95" customHeight="1" x14ac:dyDescent="0.25">
      <c r="A61" s="47"/>
      <c r="B61" s="55"/>
      <c r="C61" s="9"/>
      <c r="D61" s="136"/>
      <c r="E61" s="56"/>
      <c r="F61" s="57"/>
      <c r="G61" s="8">
        <v>46162</v>
      </c>
      <c r="H61" s="9">
        <v>20</v>
      </c>
      <c r="I61" s="9"/>
      <c r="J61" s="9">
        <v>50</v>
      </c>
      <c r="K61" s="5">
        <f t="shared" si="38"/>
        <v>40</v>
      </c>
      <c r="L61" s="5">
        <f t="shared" si="37"/>
        <v>40</v>
      </c>
      <c r="M61" s="5">
        <f t="shared" si="37"/>
        <v>40</v>
      </c>
      <c r="N61" s="5">
        <f t="shared" si="39"/>
        <v>60</v>
      </c>
      <c r="O61" s="5">
        <f t="shared" si="37"/>
        <v>40</v>
      </c>
      <c r="P61" s="6">
        <f t="shared" si="48"/>
        <v>220</v>
      </c>
      <c r="Q61" s="6">
        <f t="shared" si="49"/>
        <v>3300</v>
      </c>
      <c r="R61" s="42" t="s">
        <v>23</v>
      </c>
    </row>
    <row r="62" spans="1:18" ht="15.95" customHeight="1" x14ac:dyDescent="0.25">
      <c r="A62" s="47"/>
      <c r="B62" s="55"/>
      <c r="C62" s="9"/>
      <c r="D62" s="136"/>
      <c r="E62" s="56"/>
      <c r="F62" s="57"/>
      <c r="G62" s="8">
        <v>46162</v>
      </c>
      <c r="H62" s="9">
        <v>20</v>
      </c>
      <c r="I62" s="9"/>
      <c r="J62" s="9">
        <v>51</v>
      </c>
      <c r="K62" s="5">
        <v>40</v>
      </c>
      <c r="L62" s="5">
        <v>40</v>
      </c>
      <c r="M62" s="5">
        <v>40</v>
      </c>
      <c r="N62" s="5">
        <v>60</v>
      </c>
      <c r="O62" s="5">
        <v>40</v>
      </c>
      <c r="P62" s="6">
        <f t="shared" ref="P62:P63" si="50">IF(G62="","",SUM(K62:O62))</f>
        <v>220</v>
      </c>
      <c r="Q62" s="6">
        <f t="shared" ref="Q62:Q63" si="51">IF(P62="","",Q61+P62)</f>
        <v>3520</v>
      </c>
      <c r="R62" s="42" t="s">
        <v>23</v>
      </c>
    </row>
    <row r="63" spans="1:18" ht="15.95" customHeight="1" x14ac:dyDescent="0.25">
      <c r="A63" s="47"/>
      <c r="B63" s="55"/>
      <c r="C63" s="9"/>
      <c r="D63" s="136"/>
      <c r="E63" s="56"/>
      <c r="F63" s="57"/>
      <c r="G63" s="8">
        <v>46163</v>
      </c>
      <c r="H63" s="9">
        <v>20</v>
      </c>
      <c r="I63" s="9"/>
      <c r="J63" s="9">
        <v>52</v>
      </c>
      <c r="K63" s="5">
        <f t="shared" si="38"/>
        <v>40</v>
      </c>
      <c r="L63" s="5">
        <f t="shared" si="37"/>
        <v>40</v>
      </c>
      <c r="M63" s="5">
        <f t="shared" si="37"/>
        <v>40</v>
      </c>
      <c r="N63" s="5">
        <f t="shared" si="39"/>
        <v>60</v>
      </c>
      <c r="O63" s="5">
        <f t="shared" si="37"/>
        <v>40</v>
      </c>
      <c r="P63" s="6">
        <f t="shared" si="50"/>
        <v>220</v>
      </c>
      <c r="Q63" s="6">
        <f t="shared" si="51"/>
        <v>3740</v>
      </c>
      <c r="R63" s="42" t="s">
        <v>23</v>
      </c>
    </row>
    <row r="64" spans="1:18" ht="15.95" customHeight="1" x14ac:dyDescent="0.25">
      <c r="A64" s="47"/>
      <c r="B64" s="55"/>
      <c r="C64" s="9"/>
      <c r="D64" s="136"/>
      <c r="E64" s="56"/>
      <c r="F64" s="57"/>
      <c r="G64" s="8">
        <v>46163</v>
      </c>
      <c r="H64" s="9">
        <v>20</v>
      </c>
      <c r="I64" s="9"/>
      <c r="J64" s="9">
        <v>53</v>
      </c>
      <c r="K64" s="5">
        <v>40</v>
      </c>
      <c r="L64" s="5">
        <v>40</v>
      </c>
      <c r="M64" s="5">
        <v>40</v>
      </c>
      <c r="N64" s="5">
        <v>60</v>
      </c>
      <c r="O64" s="5">
        <v>40</v>
      </c>
      <c r="P64" s="6">
        <f t="shared" ref="P64:P66" si="52">IF(G64="","",SUM(K64:O64))</f>
        <v>220</v>
      </c>
      <c r="Q64" s="6">
        <f t="shared" ref="Q64:Q66" si="53">IF(P64="","",Q63+P64)</f>
        <v>3960</v>
      </c>
      <c r="R64" s="42" t="s">
        <v>23</v>
      </c>
    </row>
    <row r="65" spans="1:18" ht="15.95" customHeight="1" x14ac:dyDescent="0.25">
      <c r="A65" s="47"/>
      <c r="B65" s="55"/>
      <c r="C65" s="9"/>
      <c r="D65" s="136"/>
      <c r="E65" s="56"/>
      <c r="F65" s="57"/>
      <c r="G65" s="8">
        <v>46163</v>
      </c>
      <c r="H65" s="9">
        <v>20</v>
      </c>
      <c r="I65" s="9"/>
      <c r="J65" s="9">
        <v>54</v>
      </c>
      <c r="K65" s="5">
        <f t="shared" si="38"/>
        <v>40</v>
      </c>
      <c r="L65" s="5">
        <f t="shared" si="37"/>
        <v>40</v>
      </c>
      <c r="M65" s="5">
        <f t="shared" si="37"/>
        <v>40</v>
      </c>
      <c r="N65" s="5">
        <f t="shared" si="39"/>
        <v>60</v>
      </c>
      <c r="O65" s="5">
        <f t="shared" si="37"/>
        <v>40</v>
      </c>
      <c r="P65" s="6">
        <f t="shared" si="52"/>
        <v>220</v>
      </c>
      <c r="Q65" s="6">
        <f t="shared" si="53"/>
        <v>4180</v>
      </c>
      <c r="R65" s="42" t="s">
        <v>23</v>
      </c>
    </row>
    <row r="66" spans="1:18" ht="15.95" customHeight="1" x14ac:dyDescent="0.25">
      <c r="A66" s="47"/>
      <c r="B66" s="55"/>
      <c r="C66" s="9"/>
      <c r="D66" s="136"/>
      <c r="E66" s="56"/>
      <c r="F66" s="57"/>
      <c r="G66" s="8">
        <v>46163</v>
      </c>
      <c r="H66" s="9">
        <v>20</v>
      </c>
      <c r="I66" s="9"/>
      <c r="J66" s="9">
        <v>55</v>
      </c>
      <c r="K66" s="5">
        <v>40</v>
      </c>
      <c r="L66" s="5">
        <v>40</v>
      </c>
      <c r="M66" s="5">
        <v>40</v>
      </c>
      <c r="N66" s="5">
        <v>60</v>
      </c>
      <c r="O66" s="5">
        <v>40</v>
      </c>
      <c r="P66" s="6">
        <f t="shared" si="52"/>
        <v>220</v>
      </c>
      <c r="Q66" s="6">
        <f t="shared" si="53"/>
        <v>4400</v>
      </c>
      <c r="R66" s="42" t="s">
        <v>23</v>
      </c>
    </row>
    <row r="67" spans="1:18" ht="15.95" customHeight="1" x14ac:dyDescent="0.25">
      <c r="A67" s="47"/>
      <c r="B67" s="55"/>
      <c r="C67" s="9"/>
      <c r="D67" s="136"/>
      <c r="E67" s="56"/>
      <c r="F67" s="57"/>
      <c r="G67" s="8">
        <v>46163</v>
      </c>
      <c r="H67" s="9">
        <v>20</v>
      </c>
      <c r="I67" s="9"/>
      <c r="J67" s="9">
        <v>56</v>
      </c>
      <c r="K67" s="5">
        <f t="shared" si="38"/>
        <v>40</v>
      </c>
      <c r="L67" s="5">
        <f t="shared" si="37"/>
        <v>40</v>
      </c>
      <c r="M67" s="5">
        <f t="shared" si="37"/>
        <v>40</v>
      </c>
      <c r="N67" s="5">
        <f t="shared" si="39"/>
        <v>60</v>
      </c>
      <c r="O67" s="5">
        <f t="shared" si="37"/>
        <v>40</v>
      </c>
      <c r="P67" s="6">
        <f t="shared" ref="P67:P69" si="54">IF(G67="","",SUM(K67:O67))</f>
        <v>220</v>
      </c>
      <c r="Q67" s="6">
        <f t="shared" ref="Q67:Q69" si="55">IF(P67="","",Q66+P67)</f>
        <v>4620</v>
      </c>
      <c r="R67" s="42" t="s">
        <v>23</v>
      </c>
    </row>
    <row r="68" spans="1:18" ht="15.95" customHeight="1" x14ac:dyDescent="0.25">
      <c r="A68" s="47"/>
      <c r="B68" s="55"/>
      <c r="C68" s="9"/>
      <c r="D68" s="136"/>
      <c r="E68" s="56"/>
      <c r="F68" s="57"/>
      <c r="G68" s="8">
        <v>46163</v>
      </c>
      <c r="H68" s="9">
        <v>20</v>
      </c>
      <c r="I68" s="9"/>
      <c r="J68" s="9">
        <v>57</v>
      </c>
      <c r="K68" s="5">
        <f t="shared" si="38"/>
        <v>40</v>
      </c>
      <c r="L68" s="5">
        <f t="shared" si="37"/>
        <v>40</v>
      </c>
      <c r="M68" s="5">
        <f t="shared" si="37"/>
        <v>40</v>
      </c>
      <c r="N68" s="5">
        <f t="shared" si="39"/>
        <v>60</v>
      </c>
      <c r="O68" s="5">
        <f t="shared" si="37"/>
        <v>40</v>
      </c>
      <c r="P68" s="6">
        <f t="shared" si="54"/>
        <v>220</v>
      </c>
      <c r="Q68" s="6">
        <f t="shared" si="55"/>
        <v>4840</v>
      </c>
      <c r="R68" s="42" t="s">
        <v>23</v>
      </c>
    </row>
    <row r="69" spans="1:18" ht="15.95" customHeight="1" x14ac:dyDescent="0.25">
      <c r="A69" s="47"/>
      <c r="B69" s="55"/>
      <c r="C69" s="9"/>
      <c r="D69" s="136"/>
      <c r="E69" s="56"/>
      <c r="F69" s="57"/>
      <c r="G69" s="8">
        <v>46165</v>
      </c>
      <c r="H69" s="9">
        <v>20</v>
      </c>
      <c r="I69" s="9"/>
      <c r="J69" s="9">
        <v>58</v>
      </c>
      <c r="K69" s="5">
        <f t="shared" si="38"/>
        <v>40</v>
      </c>
      <c r="L69" s="5">
        <f t="shared" si="37"/>
        <v>40</v>
      </c>
      <c r="M69" s="5">
        <f t="shared" si="37"/>
        <v>40</v>
      </c>
      <c r="N69" s="5">
        <f t="shared" si="39"/>
        <v>60</v>
      </c>
      <c r="O69" s="5">
        <f t="shared" si="37"/>
        <v>40</v>
      </c>
      <c r="P69" s="6">
        <f t="shared" si="54"/>
        <v>220</v>
      </c>
      <c r="Q69" s="6">
        <f t="shared" si="55"/>
        <v>5060</v>
      </c>
      <c r="R69" s="42" t="s">
        <v>23</v>
      </c>
    </row>
    <row r="70" spans="1:18" ht="15.95" customHeight="1" x14ac:dyDescent="0.25">
      <c r="A70" s="47"/>
      <c r="B70" s="55"/>
      <c r="C70" s="9"/>
      <c r="D70" s="136"/>
      <c r="E70" s="56"/>
      <c r="F70" s="57"/>
      <c r="G70" s="8">
        <v>46165</v>
      </c>
      <c r="H70" s="9">
        <v>20</v>
      </c>
      <c r="I70" s="9"/>
      <c r="J70" s="9">
        <v>59</v>
      </c>
      <c r="K70" s="5">
        <f t="shared" si="38"/>
        <v>40</v>
      </c>
      <c r="L70" s="5">
        <f t="shared" si="37"/>
        <v>40</v>
      </c>
      <c r="M70" s="5">
        <f t="shared" si="37"/>
        <v>40</v>
      </c>
      <c r="N70" s="5">
        <f t="shared" si="39"/>
        <v>60</v>
      </c>
      <c r="O70" s="5">
        <f t="shared" si="37"/>
        <v>40</v>
      </c>
      <c r="P70" s="6">
        <f t="shared" ref="P70:P72" si="56">IF(G70="","",SUM(K70:O70))</f>
        <v>220</v>
      </c>
      <c r="Q70" s="6">
        <f t="shared" ref="Q70:Q72" si="57">IF(P70="","",Q69+P70)</f>
        <v>5280</v>
      </c>
      <c r="R70" s="42" t="s">
        <v>23</v>
      </c>
    </row>
    <row r="71" spans="1:18" ht="15.95" customHeight="1" x14ac:dyDescent="0.25">
      <c r="A71" s="47"/>
      <c r="B71" s="55"/>
      <c r="C71" s="9"/>
      <c r="D71" s="136"/>
      <c r="E71" s="56"/>
      <c r="F71" s="57"/>
      <c r="G71" s="8">
        <v>46165</v>
      </c>
      <c r="H71" s="9">
        <v>20</v>
      </c>
      <c r="I71" s="9"/>
      <c r="J71" s="9">
        <v>60</v>
      </c>
      <c r="K71" s="5">
        <f t="shared" si="38"/>
        <v>40</v>
      </c>
      <c r="L71" s="5">
        <f t="shared" si="38"/>
        <v>40</v>
      </c>
      <c r="M71" s="5">
        <f t="shared" si="38"/>
        <v>40</v>
      </c>
      <c r="N71" s="5">
        <f t="shared" si="39"/>
        <v>60</v>
      </c>
      <c r="O71" s="5">
        <f t="shared" si="38"/>
        <v>40</v>
      </c>
      <c r="P71" s="6">
        <f t="shared" si="56"/>
        <v>220</v>
      </c>
      <c r="Q71" s="6">
        <f t="shared" si="57"/>
        <v>5500</v>
      </c>
      <c r="R71" s="42" t="s">
        <v>23</v>
      </c>
    </row>
    <row r="72" spans="1:18" ht="15.95" customHeight="1" x14ac:dyDescent="0.25">
      <c r="A72" s="47"/>
      <c r="B72" s="55"/>
      <c r="C72" s="9"/>
      <c r="D72" s="136"/>
      <c r="E72" s="56"/>
      <c r="F72" s="57"/>
      <c r="G72" s="8">
        <v>46165</v>
      </c>
      <c r="H72" s="9">
        <v>20</v>
      </c>
      <c r="I72" s="9"/>
      <c r="J72" s="9">
        <v>61</v>
      </c>
      <c r="K72" s="5">
        <f t="shared" ref="K72:O76" si="58">20*2</f>
        <v>40</v>
      </c>
      <c r="L72" s="5">
        <f t="shared" si="58"/>
        <v>40</v>
      </c>
      <c r="M72" s="5">
        <f t="shared" si="58"/>
        <v>40</v>
      </c>
      <c r="N72" s="5">
        <f t="shared" si="39"/>
        <v>60</v>
      </c>
      <c r="O72" s="5">
        <f t="shared" si="58"/>
        <v>40</v>
      </c>
      <c r="P72" s="6">
        <f t="shared" si="56"/>
        <v>220</v>
      </c>
      <c r="Q72" s="6">
        <f t="shared" si="57"/>
        <v>5720</v>
      </c>
      <c r="R72" s="42" t="s">
        <v>23</v>
      </c>
    </row>
    <row r="73" spans="1:18" ht="15.95" customHeight="1" x14ac:dyDescent="0.25">
      <c r="A73" s="47"/>
      <c r="B73" s="55"/>
      <c r="C73" s="9"/>
      <c r="D73" s="136"/>
      <c r="E73" s="56"/>
      <c r="F73" s="57"/>
      <c r="G73" s="8">
        <v>46165</v>
      </c>
      <c r="H73" s="9">
        <v>20</v>
      </c>
      <c r="I73" s="9"/>
      <c r="J73" s="9">
        <v>62</v>
      </c>
      <c r="K73" s="5">
        <f t="shared" si="38"/>
        <v>40</v>
      </c>
      <c r="L73" s="5">
        <f t="shared" si="38"/>
        <v>40</v>
      </c>
      <c r="M73" s="5">
        <f t="shared" si="38"/>
        <v>40</v>
      </c>
      <c r="N73" s="5">
        <f t="shared" si="39"/>
        <v>60</v>
      </c>
      <c r="O73" s="5">
        <f t="shared" si="38"/>
        <v>40</v>
      </c>
      <c r="P73" s="6">
        <f t="shared" ref="P73:P74" si="59">IF(G73="","",SUM(K73:O73))</f>
        <v>220</v>
      </c>
      <c r="Q73" s="6">
        <f t="shared" ref="Q73:Q74" si="60">IF(P73="","",Q72+P73)</f>
        <v>5940</v>
      </c>
      <c r="R73" s="42" t="s">
        <v>23</v>
      </c>
    </row>
    <row r="74" spans="1:18" ht="15.95" customHeight="1" x14ac:dyDescent="0.25">
      <c r="A74" s="47"/>
      <c r="B74" s="55"/>
      <c r="C74" s="9"/>
      <c r="D74" s="136"/>
      <c r="E74" s="56"/>
      <c r="F74" s="57"/>
      <c r="G74" s="8">
        <v>46165</v>
      </c>
      <c r="H74" s="9">
        <v>20</v>
      </c>
      <c r="I74" s="9"/>
      <c r="J74" s="9">
        <v>63</v>
      </c>
      <c r="K74" s="5">
        <f t="shared" si="58"/>
        <v>40</v>
      </c>
      <c r="L74" s="5">
        <f t="shared" si="58"/>
        <v>40</v>
      </c>
      <c r="M74" s="5">
        <f t="shared" si="58"/>
        <v>40</v>
      </c>
      <c r="N74" s="5">
        <f t="shared" si="39"/>
        <v>60</v>
      </c>
      <c r="O74" s="5">
        <f t="shared" si="58"/>
        <v>40</v>
      </c>
      <c r="P74" s="6">
        <f t="shared" si="59"/>
        <v>220</v>
      </c>
      <c r="Q74" s="6">
        <f t="shared" si="60"/>
        <v>6160</v>
      </c>
      <c r="R74" s="42" t="s">
        <v>23</v>
      </c>
    </row>
    <row r="75" spans="1:18" ht="15.95" customHeight="1" x14ac:dyDescent="0.25">
      <c r="A75" s="47"/>
      <c r="B75" s="55"/>
      <c r="C75" s="9"/>
      <c r="D75" s="136"/>
      <c r="E75" s="56"/>
      <c r="F75" s="57"/>
      <c r="G75" s="8">
        <v>46165</v>
      </c>
      <c r="H75" s="9">
        <v>20</v>
      </c>
      <c r="I75" s="9"/>
      <c r="J75" s="9">
        <v>64</v>
      </c>
      <c r="K75" s="5">
        <f t="shared" si="38"/>
        <v>40</v>
      </c>
      <c r="L75" s="5">
        <f t="shared" si="38"/>
        <v>40</v>
      </c>
      <c r="M75" s="5">
        <f t="shared" si="38"/>
        <v>40</v>
      </c>
      <c r="N75" s="5">
        <f t="shared" si="39"/>
        <v>60</v>
      </c>
      <c r="O75" s="5">
        <f t="shared" si="38"/>
        <v>40</v>
      </c>
      <c r="P75" s="6">
        <f t="shared" ref="P75:P77" si="61">IF(G75="","",SUM(K75:O75))</f>
        <v>220</v>
      </c>
      <c r="Q75" s="6">
        <f t="shared" ref="Q75:Q77" si="62">IF(P75="","",Q74+P75)</f>
        <v>6380</v>
      </c>
      <c r="R75" s="42" t="s">
        <v>23</v>
      </c>
    </row>
    <row r="76" spans="1:18" ht="15.95" customHeight="1" x14ac:dyDescent="0.25">
      <c r="A76" s="47"/>
      <c r="B76" s="55"/>
      <c r="C76" s="9"/>
      <c r="D76" s="136"/>
      <c r="E76" s="56"/>
      <c r="F76" s="57"/>
      <c r="G76" s="8">
        <v>46165</v>
      </c>
      <c r="H76" s="9">
        <v>20</v>
      </c>
      <c r="I76" s="9"/>
      <c r="J76" s="9">
        <v>65</v>
      </c>
      <c r="K76" s="5">
        <f t="shared" si="58"/>
        <v>40</v>
      </c>
      <c r="L76" s="5">
        <f t="shared" si="58"/>
        <v>40</v>
      </c>
      <c r="M76" s="5">
        <f t="shared" si="58"/>
        <v>40</v>
      </c>
      <c r="N76" s="5">
        <f t="shared" si="39"/>
        <v>60</v>
      </c>
      <c r="O76" s="5">
        <f t="shared" si="58"/>
        <v>40</v>
      </c>
      <c r="P76" s="6">
        <f t="shared" si="61"/>
        <v>220</v>
      </c>
      <c r="Q76" s="6">
        <f t="shared" si="62"/>
        <v>6600</v>
      </c>
      <c r="R76" s="42" t="s">
        <v>23</v>
      </c>
    </row>
    <row r="77" spans="1:18" ht="15.95" customHeight="1" x14ac:dyDescent="0.25">
      <c r="A77" s="47"/>
      <c r="B77" s="55"/>
      <c r="C77" s="9"/>
      <c r="D77" s="136"/>
      <c r="E77" s="56"/>
      <c r="F77" s="57"/>
      <c r="G77" s="72">
        <v>46166</v>
      </c>
      <c r="H77" s="73">
        <v>20</v>
      </c>
      <c r="I77" s="73"/>
      <c r="J77" s="73">
        <v>66</v>
      </c>
      <c r="K77" s="127">
        <f t="shared" si="38"/>
        <v>40</v>
      </c>
      <c r="L77" s="127">
        <f t="shared" si="38"/>
        <v>40</v>
      </c>
      <c r="M77" s="127">
        <f t="shared" si="38"/>
        <v>40</v>
      </c>
      <c r="N77" s="127">
        <f t="shared" si="39"/>
        <v>60</v>
      </c>
      <c r="O77" s="127">
        <f t="shared" si="38"/>
        <v>40</v>
      </c>
      <c r="P77" s="78">
        <f t="shared" si="61"/>
        <v>220</v>
      </c>
      <c r="Q77" s="78">
        <f t="shared" si="62"/>
        <v>6820</v>
      </c>
      <c r="R77" s="74" t="s">
        <v>23</v>
      </c>
    </row>
    <row r="78" spans="1:18" ht="15.95" customHeight="1" x14ac:dyDescent="0.25">
      <c r="A78" s="47"/>
      <c r="B78" s="55"/>
      <c r="C78" s="9"/>
      <c r="D78" s="136"/>
      <c r="E78" s="56"/>
      <c r="F78" s="57"/>
      <c r="G78" s="72">
        <v>46166</v>
      </c>
      <c r="H78" s="73">
        <v>18</v>
      </c>
      <c r="I78" s="73"/>
      <c r="J78" s="73">
        <v>67</v>
      </c>
      <c r="K78" s="127">
        <v>36</v>
      </c>
      <c r="L78" s="127">
        <v>36</v>
      </c>
      <c r="M78" s="127">
        <v>36</v>
      </c>
      <c r="N78" s="127">
        <v>54</v>
      </c>
      <c r="O78" s="127">
        <v>36</v>
      </c>
      <c r="P78" s="78">
        <f t="shared" ref="P78:P84" si="63">IF(G78="","",SUM(K78:O78))</f>
        <v>198</v>
      </c>
      <c r="Q78" s="78">
        <f t="shared" ref="Q78:Q84" si="64">IF(P78="","",Q77+P78)</f>
        <v>7018</v>
      </c>
      <c r="R78" s="74" t="s">
        <v>23</v>
      </c>
    </row>
    <row r="79" spans="1:18" ht="15.95" customHeight="1" x14ac:dyDescent="0.25">
      <c r="A79" s="47"/>
      <c r="B79" s="55"/>
      <c r="C79" s="9"/>
      <c r="D79" s="136"/>
      <c r="E79" s="56"/>
      <c r="F79" s="57"/>
      <c r="G79" s="72">
        <v>46166</v>
      </c>
      <c r="H79" s="73">
        <v>20</v>
      </c>
      <c r="I79" s="73"/>
      <c r="J79" s="73">
        <v>68</v>
      </c>
      <c r="K79" s="127">
        <f t="shared" ref="K79:O79" si="65">20*2</f>
        <v>40</v>
      </c>
      <c r="L79" s="127">
        <f t="shared" si="65"/>
        <v>40</v>
      </c>
      <c r="M79" s="127">
        <f t="shared" si="65"/>
        <v>40</v>
      </c>
      <c r="N79" s="127">
        <f t="shared" si="39"/>
        <v>60</v>
      </c>
      <c r="O79" s="127">
        <f t="shared" si="65"/>
        <v>40</v>
      </c>
      <c r="P79" s="78">
        <f t="shared" si="63"/>
        <v>220</v>
      </c>
      <c r="Q79" s="78">
        <f t="shared" si="64"/>
        <v>7238</v>
      </c>
      <c r="R79" s="74" t="s">
        <v>23</v>
      </c>
    </row>
    <row r="80" spans="1:18" ht="15.95" customHeight="1" x14ac:dyDescent="0.25">
      <c r="A80" s="47"/>
      <c r="B80" s="55"/>
      <c r="C80" s="9"/>
      <c r="D80" s="136"/>
      <c r="E80" s="56"/>
      <c r="F80" s="57"/>
      <c r="G80" s="72">
        <v>46166</v>
      </c>
      <c r="H80" s="73">
        <v>20</v>
      </c>
      <c r="I80" s="73"/>
      <c r="J80" s="73">
        <v>69</v>
      </c>
      <c r="K80" s="127">
        <f t="shared" si="38"/>
        <v>40</v>
      </c>
      <c r="L80" s="127">
        <f t="shared" si="38"/>
        <v>40</v>
      </c>
      <c r="M80" s="127">
        <f t="shared" si="38"/>
        <v>40</v>
      </c>
      <c r="N80" s="127">
        <f t="shared" si="39"/>
        <v>60</v>
      </c>
      <c r="O80" s="127">
        <f t="shared" si="38"/>
        <v>40</v>
      </c>
      <c r="P80" s="78">
        <f t="shared" si="63"/>
        <v>220</v>
      </c>
      <c r="Q80" s="78">
        <f t="shared" si="64"/>
        <v>7458</v>
      </c>
      <c r="R80" s="74" t="s">
        <v>23</v>
      </c>
    </row>
    <row r="81" spans="1:18" ht="15.95" customHeight="1" x14ac:dyDescent="0.25">
      <c r="A81" s="47"/>
      <c r="B81" s="55"/>
      <c r="C81" s="9"/>
      <c r="D81" s="136"/>
      <c r="E81" s="56"/>
      <c r="F81" s="57"/>
      <c r="G81" s="72">
        <v>46166</v>
      </c>
      <c r="H81" s="73">
        <v>20</v>
      </c>
      <c r="I81" s="73"/>
      <c r="J81" s="73">
        <v>70</v>
      </c>
      <c r="K81" s="127">
        <f t="shared" ref="K81:O95" si="66">20*2</f>
        <v>40</v>
      </c>
      <c r="L81" s="127">
        <f t="shared" si="66"/>
        <v>40</v>
      </c>
      <c r="M81" s="127">
        <f t="shared" si="66"/>
        <v>40</v>
      </c>
      <c r="N81" s="127">
        <f t="shared" si="39"/>
        <v>60</v>
      </c>
      <c r="O81" s="127">
        <f t="shared" si="66"/>
        <v>40</v>
      </c>
      <c r="P81" s="78">
        <f t="shared" si="63"/>
        <v>220</v>
      </c>
      <c r="Q81" s="78">
        <f t="shared" si="64"/>
        <v>7678</v>
      </c>
      <c r="R81" s="74" t="s">
        <v>23</v>
      </c>
    </row>
    <row r="82" spans="1:18" ht="15.95" customHeight="1" x14ac:dyDescent="0.25">
      <c r="A82" s="47"/>
      <c r="B82" s="55"/>
      <c r="C82" s="9"/>
      <c r="D82" s="136"/>
      <c r="E82" s="56"/>
      <c r="F82" s="57"/>
      <c r="G82" s="72">
        <v>46166</v>
      </c>
      <c r="H82" s="73">
        <v>20</v>
      </c>
      <c r="I82" s="73"/>
      <c r="J82" s="73">
        <v>71</v>
      </c>
      <c r="K82" s="127">
        <f t="shared" si="38"/>
        <v>40</v>
      </c>
      <c r="L82" s="127">
        <f t="shared" si="38"/>
        <v>40</v>
      </c>
      <c r="M82" s="127">
        <f t="shared" si="38"/>
        <v>40</v>
      </c>
      <c r="N82" s="127">
        <f t="shared" si="39"/>
        <v>60</v>
      </c>
      <c r="O82" s="127">
        <f t="shared" si="38"/>
        <v>40</v>
      </c>
      <c r="P82" s="78">
        <f t="shared" si="63"/>
        <v>220</v>
      </c>
      <c r="Q82" s="78">
        <f t="shared" si="64"/>
        <v>7898</v>
      </c>
      <c r="R82" s="74" t="s">
        <v>23</v>
      </c>
    </row>
    <row r="83" spans="1:18" ht="15.95" customHeight="1" x14ac:dyDescent="0.25">
      <c r="A83" s="47"/>
      <c r="B83" s="55"/>
      <c r="C83" s="9"/>
      <c r="D83" s="136"/>
      <c r="E83" s="56"/>
      <c r="F83" s="57"/>
      <c r="G83" s="72">
        <v>46166</v>
      </c>
      <c r="H83" s="73">
        <v>20</v>
      </c>
      <c r="I83" s="73"/>
      <c r="J83" s="73">
        <v>72</v>
      </c>
      <c r="K83" s="127">
        <f t="shared" si="66"/>
        <v>40</v>
      </c>
      <c r="L83" s="127">
        <f t="shared" si="66"/>
        <v>40</v>
      </c>
      <c r="M83" s="127">
        <f t="shared" si="66"/>
        <v>40</v>
      </c>
      <c r="N83" s="127">
        <f t="shared" si="39"/>
        <v>60</v>
      </c>
      <c r="O83" s="127">
        <f t="shared" si="66"/>
        <v>40</v>
      </c>
      <c r="P83" s="78">
        <f t="shared" si="63"/>
        <v>220</v>
      </c>
      <c r="Q83" s="78">
        <f t="shared" si="64"/>
        <v>8118</v>
      </c>
      <c r="R83" s="74" t="s">
        <v>23</v>
      </c>
    </row>
    <row r="84" spans="1:18" ht="15.95" customHeight="1" x14ac:dyDescent="0.25">
      <c r="A84" s="47"/>
      <c r="B84" s="55"/>
      <c r="C84" s="9"/>
      <c r="D84" s="136"/>
      <c r="E84" s="56"/>
      <c r="F84" s="57"/>
      <c r="G84" s="72">
        <v>46166</v>
      </c>
      <c r="H84" s="73">
        <v>20</v>
      </c>
      <c r="I84" s="73"/>
      <c r="J84" s="73">
        <v>73</v>
      </c>
      <c r="K84" s="127">
        <f t="shared" si="66"/>
        <v>40</v>
      </c>
      <c r="L84" s="127">
        <f t="shared" si="66"/>
        <v>40</v>
      </c>
      <c r="M84" s="127">
        <f t="shared" si="66"/>
        <v>40</v>
      </c>
      <c r="N84" s="127">
        <f t="shared" si="39"/>
        <v>60</v>
      </c>
      <c r="O84" s="127">
        <f t="shared" si="66"/>
        <v>40</v>
      </c>
      <c r="P84" s="78">
        <f t="shared" si="63"/>
        <v>220</v>
      </c>
      <c r="Q84" s="78">
        <f t="shared" si="64"/>
        <v>8338</v>
      </c>
      <c r="R84" s="74" t="s">
        <v>23</v>
      </c>
    </row>
    <row r="85" spans="1:18" ht="15.95" customHeight="1" x14ac:dyDescent="0.25">
      <c r="A85" s="47"/>
      <c r="B85" s="55"/>
      <c r="C85" s="9"/>
      <c r="D85" s="136"/>
      <c r="E85" s="56"/>
      <c r="F85" s="57"/>
      <c r="G85" s="72">
        <v>46166</v>
      </c>
      <c r="H85" s="73">
        <v>20</v>
      </c>
      <c r="I85" s="73"/>
      <c r="J85" s="73">
        <v>74</v>
      </c>
      <c r="K85" s="127">
        <f t="shared" si="66"/>
        <v>40</v>
      </c>
      <c r="L85" s="127">
        <f t="shared" si="66"/>
        <v>40</v>
      </c>
      <c r="M85" s="127">
        <f t="shared" si="66"/>
        <v>40</v>
      </c>
      <c r="N85" s="127">
        <f t="shared" si="39"/>
        <v>60</v>
      </c>
      <c r="O85" s="127">
        <f t="shared" si="66"/>
        <v>40</v>
      </c>
      <c r="P85" s="78">
        <f t="shared" ref="P85:P87" si="67">IF(G85="","",SUM(K85:O85))</f>
        <v>220</v>
      </c>
      <c r="Q85" s="78">
        <f t="shared" ref="Q85:Q87" si="68">IF(P85="","",Q84+P85)</f>
        <v>8558</v>
      </c>
      <c r="R85" s="74" t="s">
        <v>23</v>
      </c>
    </row>
    <row r="86" spans="1:18" ht="15.95" customHeight="1" x14ac:dyDescent="0.25">
      <c r="A86" s="47"/>
      <c r="B86" s="55"/>
      <c r="C86" s="9"/>
      <c r="D86" s="136"/>
      <c r="E86" s="56"/>
      <c r="F86" s="57"/>
      <c r="G86" s="72">
        <v>46166</v>
      </c>
      <c r="H86" s="73">
        <v>20</v>
      </c>
      <c r="I86" s="73"/>
      <c r="J86" s="73">
        <v>75</v>
      </c>
      <c r="K86" s="127">
        <f t="shared" si="66"/>
        <v>40</v>
      </c>
      <c r="L86" s="127">
        <f t="shared" si="66"/>
        <v>40</v>
      </c>
      <c r="M86" s="127">
        <f t="shared" si="66"/>
        <v>40</v>
      </c>
      <c r="N86" s="127">
        <f t="shared" si="39"/>
        <v>60</v>
      </c>
      <c r="O86" s="127">
        <f t="shared" si="66"/>
        <v>40</v>
      </c>
      <c r="P86" s="78">
        <f t="shared" si="67"/>
        <v>220</v>
      </c>
      <c r="Q86" s="78">
        <f t="shared" si="68"/>
        <v>8778</v>
      </c>
      <c r="R86" s="74" t="s">
        <v>23</v>
      </c>
    </row>
    <row r="87" spans="1:18" ht="15.95" customHeight="1" x14ac:dyDescent="0.25">
      <c r="A87" s="47"/>
      <c r="B87" s="55"/>
      <c r="C87" s="9"/>
      <c r="D87" s="136"/>
      <c r="E87" s="56"/>
      <c r="F87" s="57"/>
      <c r="G87" s="72">
        <v>46166</v>
      </c>
      <c r="H87" s="73">
        <v>20</v>
      </c>
      <c r="I87" s="73"/>
      <c r="J87" s="73">
        <v>76</v>
      </c>
      <c r="K87" s="127">
        <f t="shared" si="66"/>
        <v>40</v>
      </c>
      <c r="L87" s="127">
        <f t="shared" si="66"/>
        <v>40</v>
      </c>
      <c r="M87" s="127">
        <f t="shared" si="66"/>
        <v>40</v>
      </c>
      <c r="N87" s="127">
        <f t="shared" si="39"/>
        <v>60</v>
      </c>
      <c r="O87" s="127">
        <f t="shared" si="66"/>
        <v>40</v>
      </c>
      <c r="P87" s="78">
        <f t="shared" si="67"/>
        <v>220</v>
      </c>
      <c r="Q87" s="78">
        <f t="shared" si="68"/>
        <v>8998</v>
      </c>
      <c r="R87" s="74" t="s">
        <v>23</v>
      </c>
    </row>
    <row r="88" spans="1:18" ht="15.95" customHeight="1" x14ac:dyDescent="0.25">
      <c r="A88" s="47"/>
      <c r="B88" s="55"/>
      <c r="C88" s="9"/>
      <c r="D88" s="136"/>
      <c r="E88" s="56"/>
      <c r="F88" s="57"/>
      <c r="G88" s="72">
        <v>46166</v>
      </c>
      <c r="H88" s="73">
        <v>20</v>
      </c>
      <c r="I88" s="73"/>
      <c r="J88" s="73">
        <v>77</v>
      </c>
      <c r="K88" s="127">
        <f t="shared" si="66"/>
        <v>40</v>
      </c>
      <c r="L88" s="127">
        <f t="shared" si="66"/>
        <v>40</v>
      </c>
      <c r="M88" s="127">
        <f t="shared" si="66"/>
        <v>40</v>
      </c>
      <c r="N88" s="127">
        <f t="shared" si="39"/>
        <v>60</v>
      </c>
      <c r="O88" s="127">
        <f t="shared" si="66"/>
        <v>40</v>
      </c>
      <c r="P88" s="78">
        <f t="shared" ref="P88" si="69">IF(G88="","",SUM(K88:O88))</f>
        <v>220</v>
      </c>
      <c r="Q88" s="78">
        <f t="shared" ref="Q88" si="70">IF(P88="","",Q87+P88)</f>
        <v>9218</v>
      </c>
      <c r="R88" s="74" t="s">
        <v>23</v>
      </c>
    </row>
    <row r="89" spans="1:18" ht="15.95" customHeight="1" x14ac:dyDescent="0.25">
      <c r="A89" s="47"/>
      <c r="B89" s="55"/>
      <c r="C89" s="9"/>
      <c r="D89" s="136"/>
      <c r="E89" s="56"/>
      <c r="F89" s="57"/>
      <c r="G89" s="72">
        <v>46166</v>
      </c>
      <c r="H89" s="73">
        <v>15</v>
      </c>
      <c r="I89" s="73"/>
      <c r="J89" s="73">
        <v>78</v>
      </c>
      <c r="K89" s="127">
        <v>30</v>
      </c>
      <c r="L89" s="127">
        <v>30</v>
      </c>
      <c r="M89" s="127">
        <v>30</v>
      </c>
      <c r="N89" s="127">
        <v>45</v>
      </c>
      <c r="O89" s="127">
        <v>30</v>
      </c>
      <c r="P89" s="78">
        <f t="shared" ref="P89:P90" si="71">IF(G89="","",SUM(K89:O89))</f>
        <v>165</v>
      </c>
      <c r="Q89" s="78">
        <f t="shared" ref="Q89:Q90" si="72">IF(P89="","",Q88+P89)</f>
        <v>9383</v>
      </c>
      <c r="R89" s="74" t="s">
        <v>23</v>
      </c>
    </row>
    <row r="90" spans="1:18" ht="15.95" customHeight="1" x14ac:dyDescent="0.25">
      <c r="A90" s="47"/>
      <c r="B90" s="55"/>
      <c r="C90" s="9"/>
      <c r="D90" s="136"/>
      <c r="E90" s="56"/>
      <c r="F90" s="57"/>
      <c r="G90" s="72">
        <v>46166</v>
      </c>
      <c r="H90" s="73">
        <v>20</v>
      </c>
      <c r="I90" s="73"/>
      <c r="J90" s="73">
        <v>79</v>
      </c>
      <c r="K90" s="127">
        <f t="shared" si="66"/>
        <v>40</v>
      </c>
      <c r="L90" s="127">
        <f t="shared" si="66"/>
        <v>40</v>
      </c>
      <c r="M90" s="127">
        <f t="shared" si="66"/>
        <v>40</v>
      </c>
      <c r="N90" s="127">
        <f t="shared" si="39"/>
        <v>60</v>
      </c>
      <c r="O90" s="127">
        <f t="shared" si="66"/>
        <v>40</v>
      </c>
      <c r="P90" s="78">
        <f t="shared" si="71"/>
        <v>220</v>
      </c>
      <c r="Q90" s="78">
        <f t="shared" si="72"/>
        <v>9603</v>
      </c>
      <c r="R90" s="74" t="s">
        <v>23</v>
      </c>
    </row>
    <row r="91" spans="1:18" ht="15.95" customHeight="1" x14ac:dyDescent="0.25">
      <c r="A91" s="47"/>
      <c r="B91" s="55"/>
      <c r="C91" s="9"/>
      <c r="D91" s="136"/>
      <c r="E91" s="56"/>
      <c r="F91" s="57"/>
      <c r="G91" s="72">
        <v>46166</v>
      </c>
      <c r="H91" s="73">
        <v>22</v>
      </c>
      <c r="I91" s="73"/>
      <c r="J91" s="73">
        <v>80</v>
      </c>
      <c r="K91" s="127">
        <v>44</v>
      </c>
      <c r="L91" s="127">
        <v>44</v>
      </c>
      <c r="M91" s="127">
        <v>44</v>
      </c>
      <c r="N91" s="127">
        <f>44+22</f>
        <v>66</v>
      </c>
      <c r="O91" s="127">
        <v>44</v>
      </c>
      <c r="P91" s="78">
        <f t="shared" ref="P91:P93" si="73">IF(G91="","",SUM(K91:O91))</f>
        <v>242</v>
      </c>
      <c r="Q91" s="78">
        <f t="shared" ref="Q91" si="74">IF(P91="","",Q90+P91)</f>
        <v>9845</v>
      </c>
      <c r="R91" s="74" t="s">
        <v>23</v>
      </c>
    </row>
    <row r="92" spans="1:18" ht="15.95" customHeight="1" x14ac:dyDescent="0.25">
      <c r="A92" s="47"/>
      <c r="B92" s="55"/>
      <c r="C92" s="9"/>
      <c r="D92" s="136"/>
      <c r="E92" s="56"/>
      <c r="F92" s="57"/>
      <c r="G92" s="72">
        <v>46167</v>
      </c>
      <c r="H92" s="73">
        <v>20</v>
      </c>
      <c r="I92" s="73"/>
      <c r="J92" s="73">
        <v>81</v>
      </c>
      <c r="K92" s="127">
        <f t="shared" si="66"/>
        <v>40</v>
      </c>
      <c r="L92" s="127">
        <f t="shared" si="66"/>
        <v>40</v>
      </c>
      <c r="M92" s="127">
        <f t="shared" si="66"/>
        <v>40</v>
      </c>
      <c r="N92" s="127">
        <f t="shared" si="39"/>
        <v>60</v>
      </c>
      <c r="O92" s="127">
        <f t="shared" si="66"/>
        <v>40</v>
      </c>
      <c r="P92" s="78">
        <f t="shared" si="73"/>
        <v>220</v>
      </c>
      <c r="Q92" s="78">
        <f>IF(P92="","",Q91+P92)</f>
        <v>10065</v>
      </c>
      <c r="R92" s="74" t="s">
        <v>23</v>
      </c>
    </row>
    <row r="93" spans="1:18" ht="15.95" customHeight="1" x14ac:dyDescent="0.25">
      <c r="A93" s="47"/>
      <c r="B93" s="55"/>
      <c r="C93" s="9"/>
      <c r="D93" s="136"/>
      <c r="E93" s="56"/>
      <c r="F93" s="57"/>
      <c r="G93" s="72">
        <v>46167</v>
      </c>
      <c r="H93" s="73">
        <v>20</v>
      </c>
      <c r="I93" s="73"/>
      <c r="J93" s="73">
        <v>82</v>
      </c>
      <c r="K93" s="127">
        <f t="shared" si="66"/>
        <v>40</v>
      </c>
      <c r="L93" s="127">
        <f t="shared" si="66"/>
        <v>40</v>
      </c>
      <c r="M93" s="127">
        <f t="shared" si="66"/>
        <v>40</v>
      </c>
      <c r="N93" s="127">
        <f t="shared" si="39"/>
        <v>60</v>
      </c>
      <c r="O93" s="127">
        <f t="shared" si="66"/>
        <v>40</v>
      </c>
      <c r="P93" s="78">
        <f t="shared" si="73"/>
        <v>220</v>
      </c>
      <c r="Q93" s="78">
        <f>IF(P93="","",Q92+P93)</f>
        <v>10285</v>
      </c>
      <c r="R93" s="74" t="s">
        <v>23</v>
      </c>
    </row>
    <row r="94" spans="1:18" ht="15.95" customHeight="1" x14ac:dyDescent="0.25">
      <c r="A94" s="47"/>
      <c r="B94" s="55"/>
      <c r="C94" s="9"/>
      <c r="D94" s="136"/>
      <c r="E94" s="56"/>
      <c r="F94" s="57"/>
      <c r="G94" s="72">
        <v>46167</v>
      </c>
      <c r="H94" s="73">
        <v>20</v>
      </c>
      <c r="I94" s="73"/>
      <c r="J94" s="73">
        <v>83</v>
      </c>
      <c r="K94" s="127">
        <f t="shared" si="66"/>
        <v>40</v>
      </c>
      <c r="L94" s="127">
        <f t="shared" si="66"/>
        <v>40</v>
      </c>
      <c r="M94" s="127">
        <f t="shared" si="66"/>
        <v>40</v>
      </c>
      <c r="N94" s="127">
        <f t="shared" si="39"/>
        <v>60</v>
      </c>
      <c r="O94" s="127">
        <f t="shared" si="66"/>
        <v>40</v>
      </c>
      <c r="P94" s="78">
        <f t="shared" ref="P94:P95" si="75">IF(G94="","",SUM(K94:O94))</f>
        <v>220</v>
      </c>
      <c r="Q94" s="78">
        <f>IF(P94="","",Q93+P94)</f>
        <v>10505</v>
      </c>
      <c r="R94" s="74" t="s">
        <v>23</v>
      </c>
    </row>
    <row r="95" spans="1:18" ht="15.95" customHeight="1" x14ac:dyDescent="0.25">
      <c r="A95" s="47"/>
      <c r="B95" s="55"/>
      <c r="C95" s="9"/>
      <c r="D95" s="136"/>
      <c r="E95" s="56"/>
      <c r="F95" s="57"/>
      <c r="G95" s="72">
        <v>46167</v>
      </c>
      <c r="H95" s="73">
        <v>20</v>
      </c>
      <c r="I95" s="73"/>
      <c r="J95" s="73">
        <v>84</v>
      </c>
      <c r="K95" s="127">
        <f t="shared" si="66"/>
        <v>40</v>
      </c>
      <c r="L95" s="127">
        <f t="shared" si="66"/>
        <v>40</v>
      </c>
      <c r="M95" s="127">
        <f t="shared" si="66"/>
        <v>40</v>
      </c>
      <c r="N95" s="127">
        <f t="shared" si="39"/>
        <v>60</v>
      </c>
      <c r="O95" s="127">
        <f t="shared" si="66"/>
        <v>40</v>
      </c>
      <c r="P95" s="78">
        <f t="shared" si="75"/>
        <v>220</v>
      </c>
      <c r="Q95" s="78">
        <f>IF(P95="","",Q94+P95)</f>
        <v>10725</v>
      </c>
      <c r="R95" s="74" t="s">
        <v>23</v>
      </c>
    </row>
    <row r="96" spans="1:18" ht="15.95" customHeight="1" x14ac:dyDescent="0.25">
      <c r="A96" s="47"/>
      <c r="B96" s="55"/>
      <c r="C96" s="9"/>
      <c r="D96" s="136"/>
      <c r="E96" s="56"/>
      <c r="F96" s="57"/>
      <c r="G96" s="72">
        <v>46167</v>
      </c>
      <c r="H96" s="73">
        <v>18</v>
      </c>
      <c r="I96" s="73"/>
      <c r="J96" s="73">
        <v>85</v>
      </c>
      <c r="K96" s="127">
        <v>36</v>
      </c>
      <c r="L96" s="127">
        <v>36</v>
      </c>
      <c r="M96" s="127">
        <v>36</v>
      </c>
      <c r="N96" s="127">
        <f>18*3</f>
        <v>54</v>
      </c>
      <c r="O96" s="127">
        <v>36</v>
      </c>
      <c r="P96" s="78">
        <f t="shared" ref="P96:P98" si="76">IF(G96="","",SUM(K96:O96))</f>
        <v>198</v>
      </c>
      <c r="Q96" s="78">
        <f t="shared" ref="Q96:Q98" si="77">IF(P96="","",Q95+P96)</f>
        <v>10923</v>
      </c>
      <c r="R96" s="74" t="s">
        <v>23</v>
      </c>
    </row>
    <row r="97" spans="1:18" ht="15.95" customHeight="1" x14ac:dyDescent="0.25">
      <c r="A97" s="47"/>
      <c r="B97" s="55"/>
      <c r="C97" s="9"/>
      <c r="D97" s="136"/>
      <c r="E97" s="56"/>
      <c r="F97" s="57"/>
      <c r="G97" s="72">
        <v>46167</v>
      </c>
      <c r="H97" s="73">
        <v>20</v>
      </c>
      <c r="I97" s="73"/>
      <c r="J97" s="73">
        <v>86</v>
      </c>
      <c r="K97" s="127">
        <f t="shared" ref="K97:O105" si="78">20*2</f>
        <v>40</v>
      </c>
      <c r="L97" s="127">
        <f t="shared" si="78"/>
        <v>40</v>
      </c>
      <c r="M97" s="127">
        <f t="shared" si="78"/>
        <v>40</v>
      </c>
      <c r="N97" s="127">
        <f t="shared" si="39"/>
        <v>60</v>
      </c>
      <c r="O97" s="127">
        <f t="shared" si="78"/>
        <v>40</v>
      </c>
      <c r="P97" s="78">
        <f t="shared" si="76"/>
        <v>220</v>
      </c>
      <c r="Q97" s="78">
        <f t="shared" si="77"/>
        <v>11143</v>
      </c>
      <c r="R97" s="74" t="s">
        <v>23</v>
      </c>
    </row>
    <row r="98" spans="1:18" ht="15.95" customHeight="1" x14ac:dyDescent="0.25">
      <c r="A98" s="47"/>
      <c r="B98" s="55"/>
      <c r="C98" s="9"/>
      <c r="D98" s="136"/>
      <c r="E98" s="56"/>
      <c r="F98" s="57"/>
      <c r="G98" s="72">
        <v>46167</v>
      </c>
      <c r="H98" s="73">
        <v>20</v>
      </c>
      <c r="I98" s="73"/>
      <c r="J98" s="73">
        <v>87</v>
      </c>
      <c r="K98" s="127">
        <f t="shared" si="78"/>
        <v>40</v>
      </c>
      <c r="L98" s="127">
        <f t="shared" si="78"/>
        <v>40</v>
      </c>
      <c r="M98" s="127">
        <f t="shared" si="78"/>
        <v>40</v>
      </c>
      <c r="N98" s="127">
        <f t="shared" si="39"/>
        <v>60</v>
      </c>
      <c r="O98" s="127">
        <f t="shared" si="78"/>
        <v>40</v>
      </c>
      <c r="P98" s="78">
        <f t="shared" si="76"/>
        <v>220</v>
      </c>
      <c r="Q98" s="78">
        <f t="shared" si="77"/>
        <v>11363</v>
      </c>
      <c r="R98" s="74" t="s">
        <v>23</v>
      </c>
    </row>
    <row r="99" spans="1:18" ht="15.95" customHeight="1" x14ac:dyDescent="0.25">
      <c r="A99" s="47"/>
      <c r="B99" s="55"/>
      <c r="C99" s="9"/>
      <c r="D99" s="136"/>
      <c r="E99" s="56"/>
      <c r="F99" s="57"/>
      <c r="G99" s="72">
        <v>46167</v>
      </c>
      <c r="H99" s="73">
        <v>20</v>
      </c>
      <c r="I99" s="73"/>
      <c r="J99" s="73">
        <v>88</v>
      </c>
      <c r="K99" s="127">
        <f t="shared" si="78"/>
        <v>40</v>
      </c>
      <c r="L99" s="127">
        <f t="shared" si="78"/>
        <v>40</v>
      </c>
      <c r="M99" s="127">
        <f t="shared" si="78"/>
        <v>40</v>
      </c>
      <c r="N99" s="127">
        <f t="shared" si="39"/>
        <v>60</v>
      </c>
      <c r="O99" s="127">
        <f t="shared" si="78"/>
        <v>40</v>
      </c>
      <c r="P99" s="78">
        <f t="shared" ref="P99:P103" si="79">IF(G99="","",SUM(K99:O99))</f>
        <v>220</v>
      </c>
      <c r="Q99" s="78">
        <f t="shared" ref="Q99:Q103" si="80">IF(P99="","",Q98+P99)</f>
        <v>11583</v>
      </c>
      <c r="R99" s="74" t="s">
        <v>23</v>
      </c>
    </row>
    <row r="100" spans="1:18" ht="15.95" customHeight="1" x14ac:dyDescent="0.25">
      <c r="A100" s="47"/>
      <c r="B100" s="55"/>
      <c r="C100" s="9"/>
      <c r="D100" s="136"/>
      <c r="E100" s="56"/>
      <c r="F100" s="57"/>
      <c r="G100" s="72">
        <v>46167</v>
      </c>
      <c r="H100" s="73">
        <v>20</v>
      </c>
      <c r="I100" s="73"/>
      <c r="J100" s="73">
        <v>89</v>
      </c>
      <c r="K100" s="127">
        <f t="shared" si="78"/>
        <v>40</v>
      </c>
      <c r="L100" s="127">
        <f t="shared" si="78"/>
        <v>40</v>
      </c>
      <c r="M100" s="127">
        <f t="shared" si="78"/>
        <v>40</v>
      </c>
      <c r="N100" s="127">
        <f t="shared" si="39"/>
        <v>60</v>
      </c>
      <c r="O100" s="127">
        <f t="shared" si="78"/>
        <v>40</v>
      </c>
      <c r="P100" s="78">
        <f t="shared" si="79"/>
        <v>220</v>
      </c>
      <c r="Q100" s="78">
        <f t="shared" si="80"/>
        <v>11803</v>
      </c>
      <c r="R100" s="74" t="s">
        <v>23</v>
      </c>
    </row>
    <row r="101" spans="1:18" ht="15.95" customHeight="1" x14ac:dyDescent="0.25">
      <c r="A101" s="47"/>
      <c r="B101" s="55"/>
      <c r="C101" s="9"/>
      <c r="D101" s="136"/>
      <c r="E101" s="56"/>
      <c r="F101" s="57"/>
      <c r="G101" s="72">
        <v>46167</v>
      </c>
      <c r="H101" s="73">
        <v>20</v>
      </c>
      <c r="I101" s="73"/>
      <c r="J101" s="73">
        <v>90</v>
      </c>
      <c r="K101" s="127">
        <f t="shared" si="78"/>
        <v>40</v>
      </c>
      <c r="L101" s="127">
        <f t="shared" si="78"/>
        <v>40</v>
      </c>
      <c r="M101" s="127">
        <f t="shared" si="78"/>
        <v>40</v>
      </c>
      <c r="N101" s="127">
        <f t="shared" si="39"/>
        <v>60</v>
      </c>
      <c r="O101" s="127">
        <f t="shared" si="78"/>
        <v>40</v>
      </c>
      <c r="P101" s="78">
        <f t="shared" si="79"/>
        <v>220</v>
      </c>
      <c r="Q101" s="78">
        <f t="shared" si="80"/>
        <v>12023</v>
      </c>
      <c r="R101" s="74" t="s">
        <v>23</v>
      </c>
    </row>
    <row r="102" spans="1:18" ht="15.95" customHeight="1" x14ac:dyDescent="0.25">
      <c r="A102" s="47"/>
      <c r="B102" s="55"/>
      <c r="C102" s="9"/>
      <c r="D102" s="136"/>
      <c r="E102" s="56"/>
      <c r="F102" s="57"/>
      <c r="G102" s="72">
        <v>46167</v>
      </c>
      <c r="H102" s="73">
        <v>20</v>
      </c>
      <c r="I102" s="73"/>
      <c r="J102" s="73">
        <v>91</v>
      </c>
      <c r="K102" s="127">
        <f t="shared" si="78"/>
        <v>40</v>
      </c>
      <c r="L102" s="127">
        <f t="shared" si="78"/>
        <v>40</v>
      </c>
      <c r="M102" s="127">
        <f t="shared" si="78"/>
        <v>40</v>
      </c>
      <c r="N102" s="127">
        <f t="shared" si="39"/>
        <v>60</v>
      </c>
      <c r="O102" s="127">
        <f t="shared" si="78"/>
        <v>40</v>
      </c>
      <c r="P102" s="78">
        <f t="shared" si="79"/>
        <v>220</v>
      </c>
      <c r="Q102" s="78">
        <f t="shared" si="80"/>
        <v>12243</v>
      </c>
      <c r="R102" s="74" t="s">
        <v>23</v>
      </c>
    </row>
    <row r="103" spans="1:18" ht="15.95" customHeight="1" x14ac:dyDescent="0.25">
      <c r="A103" s="47"/>
      <c r="B103" s="55"/>
      <c r="C103" s="9"/>
      <c r="D103" s="136"/>
      <c r="E103" s="56"/>
      <c r="F103" s="57"/>
      <c r="G103" s="72">
        <v>46167</v>
      </c>
      <c r="H103" s="73">
        <v>20</v>
      </c>
      <c r="I103" s="73"/>
      <c r="J103" s="73">
        <v>92</v>
      </c>
      <c r="K103" s="127">
        <f t="shared" si="78"/>
        <v>40</v>
      </c>
      <c r="L103" s="127">
        <f t="shared" si="78"/>
        <v>40</v>
      </c>
      <c r="M103" s="127">
        <f t="shared" si="78"/>
        <v>40</v>
      </c>
      <c r="N103" s="127">
        <f t="shared" si="39"/>
        <v>60</v>
      </c>
      <c r="O103" s="127">
        <f t="shared" si="78"/>
        <v>40</v>
      </c>
      <c r="P103" s="78">
        <f t="shared" si="79"/>
        <v>220</v>
      </c>
      <c r="Q103" s="78">
        <f t="shared" si="80"/>
        <v>12463</v>
      </c>
      <c r="R103" s="74" t="s">
        <v>23</v>
      </c>
    </row>
    <row r="104" spans="1:18" ht="15.95" customHeight="1" x14ac:dyDescent="0.25">
      <c r="A104" s="47"/>
      <c r="B104" s="55"/>
      <c r="C104" s="9"/>
      <c r="D104" s="136"/>
      <c r="E104" s="56"/>
      <c r="F104" s="57"/>
      <c r="G104" s="72">
        <v>46168</v>
      </c>
      <c r="H104" s="73">
        <v>20</v>
      </c>
      <c r="I104" s="73"/>
      <c r="J104" s="73">
        <v>93</v>
      </c>
      <c r="K104" s="127">
        <f t="shared" si="78"/>
        <v>40</v>
      </c>
      <c r="L104" s="127">
        <f t="shared" si="78"/>
        <v>40</v>
      </c>
      <c r="M104" s="127">
        <f t="shared" si="78"/>
        <v>40</v>
      </c>
      <c r="N104" s="127">
        <f t="shared" si="39"/>
        <v>60</v>
      </c>
      <c r="O104" s="127">
        <f t="shared" si="78"/>
        <v>40</v>
      </c>
      <c r="P104" s="78">
        <f t="shared" ref="P104:P105" si="81">IF(G104="","",SUM(K104:O104))</f>
        <v>220</v>
      </c>
      <c r="Q104" s="78">
        <f>IF(P104="","",Q103+P104)</f>
        <v>12683</v>
      </c>
      <c r="R104" s="74" t="s">
        <v>23</v>
      </c>
    </row>
    <row r="105" spans="1:18" ht="15.95" customHeight="1" x14ac:dyDescent="0.25">
      <c r="A105" s="47"/>
      <c r="B105" s="55"/>
      <c r="C105" s="9"/>
      <c r="D105" s="136"/>
      <c r="E105" s="56"/>
      <c r="F105" s="57"/>
      <c r="G105" s="72">
        <v>46168</v>
      </c>
      <c r="H105" s="73">
        <v>20</v>
      </c>
      <c r="I105" s="73"/>
      <c r="J105" s="73">
        <v>94</v>
      </c>
      <c r="K105" s="127">
        <f t="shared" si="78"/>
        <v>40</v>
      </c>
      <c r="L105" s="127">
        <f t="shared" si="78"/>
        <v>40</v>
      </c>
      <c r="M105" s="127">
        <f t="shared" si="78"/>
        <v>40</v>
      </c>
      <c r="N105" s="127">
        <f t="shared" si="39"/>
        <v>60</v>
      </c>
      <c r="O105" s="127">
        <f t="shared" si="78"/>
        <v>40</v>
      </c>
      <c r="P105" s="78">
        <f t="shared" si="81"/>
        <v>220</v>
      </c>
      <c r="Q105" s="78">
        <f>IF(P105="","",Q104+P105)</f>
        <v>12903</v>
      </c>
      <c r="R105" s="74" t="s">
        <v>23</v>
      </c>
    </row>
    <row r="106" spans="1:18" ht="15.95" customHeight="1" x14ac:dyDescent="0.25">
      <c r="A106" s="47"/>
      <c r="B106" s="55"/>
      <c r="C106" s="9"/>
      <c r="D106" s="136"/>
      <c r="E106" s="56"/>
      <c r="F106" s="57"/>
      <c r="G106" s="72">
        <v>46180</v>
      </c>
      <c r="H106" s="73">
        <v>15</v>
      </c>
      <c r="I106" s="73"/>
      <c r="J106" s="73">
        <v>95</v>
      </c>
      <c r="K106" s="127">
        <v>30</v>
      </c>
      <c r="L106" s="127">
        <v>30</v>
      </c>
      <c r="M106" s="127">
        <v>30</v>
      </c>
      <c r="N106" s="127">
        <v>45</v>
      </c>
      <c r="O106" s="127">
        <v>30</v>
      </c>
      <c r="P106" s="78">
        <f t="shared" ref="P106:P109" si="82">IF(G106="","",SUM(K106:O106))</f>
        <v>165</v>
      </c>
      <c r="Q106" s="78">
        <f t="shared" ref="Q106:Q109" si="83">IF(P106="","",Q105+P106)</f>
        <v>13068</v>
      </c>
      <c r="R106" s="74" t="s">
        <v>23</v>
      </c>
    </row>
    <row r="107" spans="1:18" ht="15.95" customHeight="1" x14ac:dyDescent="0.25">
      <c r="A107" s="47"/>
      <c r="B107" s="55"/>
      <c r="C107" s="9"/>
      <c r="D107" s="136"/>
      <c r="E107" s="56"/>
      <c r="F107" s="57"/>
      <c r="G107" s="72">
        <v>46181</v>
      </c>
      <c r="H107" s="73">
        <v>20</v>
      </c>
      <c r="I107" s="73"/>
      <c r="J107" s="73">
        <v>96</v>
      </c>
      <c r="K107" s="127">
        <v>40</v>
      </c>
      <c r="L107" s="127">
        <v>40</v>
      </c>
      <c r="M107" s="127">
        <v>40</v>
      </c>
      <c r="N107" s="127">
        <v>60</v>
      </c>
      <c r="O107" s="127">
        <v>40</v>
      </c>
      <c r="P107" s="78">
        <f t="shared" si="82"/>
        <v>220</v>
      </c>
      <c r="Q107" s="78">
        <f t="shared" si="83"/>
        <v>13288</v>
      </c>
      <c r="R107" s="74" t="s">
        <v>23</v>
      </c>
    </row>
    <row r="108" spans="1:18" ht="15.95" customHeight="1" x14ac:dyDescent="0.25">
      <c r="A108" s="47"/>
      <c r="B108" s="55"/>
      <c r="C108" s="9"/>
      <c r="D108" s="136"/>
      <c r="E108" s="56"/>
      <c r="F108" s="57"/>
      <c r="G108" s="72">
        <v>46181</v>
      </c>
      <c r="H108" s="73">
        <v>20</v>
      </c>
      <c r="I108" s="73"/>
      <c r="J108" s="73">
        <v>97</v>
      </c>
      <c r="K108" s="127">
        <v>40</v>
      </c>
      <c r="L108" s="127">
        <v>40</v>
      </c>
      <c r="M108" s="127">
        <v>40</v>
      </c>
      <c r="N108" s="127">
        <v>60</v>
      </c>
      <c r="O108" s="127">
        <v>40</v>
      </c>
      <c r="P108" s="78">
        <f t="shared" si="82"/>
        <v>220</v>
      </c>
      <c r="Q108" s="78">
        <f t="shared" si="83"/>
        <v>13508</v>
      </c>
      <c r="R108" s="74" t="s">
        <v>23</v>
      </c>
    </row>
    <row r="109" spans="1:18" ht="15.95" customHeight="1" x14ac:dyDescent="0.25">
      <c r="A109" s="47"/>
      <c r="B109" s="55"/>
      <c r="C109" s="9"/>
      <c r="D109" s="136"/>
      <c r="E109" s="56"/>
      <c r="F109" s="57"/>
      <c r="G109" s="72">
        <v>46181</v>
      </c>
      <c r="H109" s="73">
        <v>20</v>
      </c>
      <c r="I109" s="73"/>
      <c r="J109" s="73">
        <v>98</v>
      </c>
      <c r="K109" s="127">
        <v>40</v>
      </c>
      <c r="L109" s="127">
        <v>40</v>
      </c>
      <c r="M109" s="127">
        <v>40</v>
      </c>
      <c r="N109" s="127">
        <v>60</v>
      </c>
      <c r="O109" s="127">
        <v>40</v>
      </c>
      <c r="P109" s="78">
        <f t="shared" si="82"/>
        <v>220</v>
      </c>
      <c r="Q109" s="78">
        <f t="shared" si="83"/>
        <v>13728</v>
      </c>
      <c r="R109" s="74" t="s">
        <v>23</v>
      </c>
    </row>
    <row r="110" spans="1:18" ht="15.95" customHeight="1" x14ac:dyDescent="0.25">
      <c r="A110" s="47"/>
      <c r="B110" s="55"/>
      <c r="C110" s="9"/>
      <c r="D110" s="136"/>
      <c r="E110" s="56"/>
      <c r="F110" s="57"/>
      <c r="G110" s="72">
        <v>46182</v>
      </c>
      <c r="H110" s="73">
        <v>20</v>
      </c>
      <c r="I110" s="73"/>
      <c r="J110" s="73">
        <v>99</v>
      </c>
      <c r="K110" s="127">
        <v>40</v>
      </c>
      <c r="L110" s="127">
        <v>40</v>
      </c>
      <c r="M110" s="127">
        <v>40</v>
      </c>
      <c r="N110" s="127">
        <v>60</v>
      </c>
      <c r="O110" s="127">
        <v>40</v>
      </c>
      <c r="P110" s="78">
        <f>IF(G110="","",SUM(K110:O110))</f>
        <v>220</v>
      </c>
      <c r="Q110" s="78">
        <f t="shared" ref="Q110:Q112" si="84">IF(P110="","",Q109+P110)</f>
        <v>13948</v>
      </c>
      <c r="R110" s="74" t="s">
        <v>23</v>
      </c>
    </row>
    <row r="111" spans="1:18" ht="15.95" customHeight="1" x14ac:dyDescent="0.25">
      <c r="A111" s="47"/>
      <c r="B111" s="55"/>
      <c r="C111" s="9"/>
      <c r="D111" s="136"/>
      <c r="E111" s="56"/>
      <c r="F111" s="57"/>
      <c r="G111" s="72">
        <v>46182</v>
      </c>
      <c r="H111" s="73">
        <v>20</v>
      </c>
      <c r="I111" s="73"/>
      <c r="J111" s="73">
        <v>1</v>
      </c>
      <c r="K111" s="127">
        <v>40</v>
      </c>
      <c r="L111" s="127">
        <v>40</v>
      </c>
      <c r="M111" s="127">
        <v>40</v>
      </c>
      <c r="N111" s="127">
        <v>60</v>
      </c>
      <c r="O111" s="127">
        <v>40</v>
      </c>
      <c r="P111" s="78">
        <f>IF(G111="","",SUM(K111:O111))</f>
        <v>220</v>
      </c>
      <c r="Q111" s="78">
        <f t="shared" si="84"/>
        <v>14168</v>
      </c>
      <c r="R111" s="74" t="s">
        <v>23</v>
      </c>
    </row>
    <row r="112" spans="1:18" ht="15.95" customHeight="1" x14ac:dyDescent="0.25">
      <c r="A112" s="47"/>
      <c r="B112" s="55"/>
      <c r="C112" s="9"/>
      <c r="D112" s="136"/>
      <c r="E112" s="56"/>
      <c r="F112" s="57"/>
      <c r="G112" s="72">
        <v>46182</v>
      </c>
      <c r="H112" s="73">
        <v>20</v>
      </c>
      <c r="I112" s="73"/>
      <c r="J112" s="73">
        <v>2</v>
      </c>
      <c r="K112" s="127">
        <v>40</v>
      </c>
      <c r="L112" s="127">
        <v>40</v>
      </c>
      <c r="M112" s="127">
        <v>40</v>
      </c>
      <c r="N112" s="127">
        <v>60</v>
      </c>
      <c r="O112" s="127">
        <v>40</v>
      </c>
      <c r="P112" s="78">
        <f t="shared" ref="P112" si="85">IF(G112="","",SUM(K112:O112))</f>
        <v>220</v>
      </c>
      <c r="Q112" s="78">
        <f t="shared" si="84"/>
        <v>14388</v>
      </c>
      <c r="R112" s="74" t="s">
        <v>23</v>
      </c>
    </row>
    <row r="113" spans="1:18" ht="15.95" customHeight="1" x14ac:dyDescent="0.25">
      <c r="A113" s="47"/>
      <c r="B113" s="55"/>
      <c r="C113" s="9"/>
      <c r="D113" s="136"/>
      <c r="E113" s="56"/>
      <c r="F113" s="57"/>
      <c r="G113" s="72">
        <v>46182</v>
      </c>
      <c r="H113" s="73">
        <v>18</v>
      </c>
      <c r="I113" s="73"/>
      <c r="J113" s="73">
        <v>3</v>
      </c>
      <c r="K113" s="127">
        <v>36</v>
      </c>
      <c r="L113" s="127">
        <v>36</v>
      </c>
      <c r="M113" s="127">
        <v>36</v>
      </c>
      <c r="N113" s="127">
        <f>18*3</f>
        <v>54</v>
      </c>
      <c r="O113" s="127">
        <v>36</v>
      </c>
      <c r="P113" s="78">
        <f t="shared" ref="P113:P115" si="86">IF(G113="","",SUM(K113:O113))</f>
        <v>198</v>
      </c>
      <c r="Q113" s="78">
        <f t="shared" ref="Q113:Q114" si="87">IF(P113="","",Q112+P113)</f>
        <v>14586</v>
      </c>
      <c r="R113" s="74" t="s">
        <v>23</v>
      </c>
    </row>
    <row r="114" spans="1:18" ht="15.95" customHeight="1" x14ac:dyDescent="0.25">
      <c r="A114" s="47"/>
      <c r="B114" s="55"/>
      <c r="C114" s="9"/>
      <c r="D114" s="136"/>
      <c r="E114" s="56"/>
      <c r="F114" s="57"/>
      <c r="G114" s="72">
        <v>46184</v>
      </c>
      <c r="H114" s="73">
        <v>20</v>
      </c>
      <c r="I114" s="73"/>
      <c r="J114" s="73">
        <v>4</v>
      </c>
      <c r="K114" s="127">
        <v>40</v>
      </c>
      <c r="L114" s="127">
        <v>40</v>
      </c>
      <c r="M114" s="127">
        <v>40</v>
      </c>
      <c r="N114" s="127">
        <v>60</v>
      </c>
      <c r="O114" s="127">
        <v>40</v>
      </c>
      <c r="P114" s="78">
        <f t="shared" si="86"/>
        <v>220</v>
      </c>
      <c r="Q114" s="78">
        <f t="shared" si="87"/>
        <v>14806</v>
      </c>
      <c r="R114" s="74" t="s">
        <v>23</v>
      </c>
    </row>
    <row r="115" spans="1:18" ht="15.95" customHeight="1" thickBot="1" x14ac:dyDescent="0.3">
      <c r="A115" s="47"/>
      <c r="B115" s="55"/>
      <c r="C115" s="9"/>
      <c r="D115" s="136"/>
      <c r="E115" s="56"/>
      <c r="F115" s="57"/>
      <c r="G115" s="72"/>
      <c r="H115" s="73"/>
      <c r="I115" s="73"/>
      <c r="J115" s="73"/>
      <c r="K115" s="127"/>
      <c r="L115" s="127"/>
      <c r="M115" s="127"/>
      <c r="N115" s="127"/>
      <c r="O115" s="127"/>
      <c r="P115" s="78" t="str">
        <f t="shared" si="86"/>
        <v/>
      </c>
      <c r="Q115" s="78" t="str">
        <f>IF(P115="","",Q114+P115)</f>
        <v/>
      </c>
      <c r="R115" s="74"/>
    </row>
    <row r="116" spans="1:18" ht="19.5" customHeight="1" thickBot="1" x14ac:dyDescent="0.3">
      <c r="A116" s="48"/>
      <c r="B116" s="58"/>
      <c r="C116" s="58"/>
      <c r="D116" s="138"/>
      <c r="E116" s="59"/>
      <c r="F116" s="58"/>
      <c r="G116" s="19"/>
      <c r="H116" s="20"/>
      <c r="I116" s="21"/>
      <c r="J116" s="22" t="s">
        <v>11</v>
      </c>
      <c r="K116" s="38">
        <f>SUM(K47:K115)</f>
        <v>2692</v>
      </c>
      <c r="L116" s="38">
        <f>SUM(L47:L115)</f>
        <v>2692</v>
      </c>
      <c r="M116" s="38">
        <f>SUM(M47:M115)</f>
        <v>2692</v>
      </c>
      <c r="N116" s="38">
        <f>SUM(N47:N115)</f>
        <v>4038</v>
      </c>
      <c r="O116" s="38">
        <f>SUM(O47:O115)</f>
        <v>2692</v>
      </c>
      <c r="P116" s="38">
        <f>SUM(K116:O116)</f>
        <v>14806</v>
      </c>
      <c r="Q116" s="23"/>
      <c r="R116" s="82"/>
    </row>
    <row r="117" spans="1:18" ht="18.75" customHeight="1" thickBot="1" x14ac:dyDescent="0.3">
      <c r="A117" s="49"/>
      <c r="B117" s="60"/>
      <c r="C117" s="60"/>
      <c r="D117" s="139"/>
      <c r="E117" s="60"/>
      <c r="F117" s="60"/>
      <c r="G117" s="24"/>
      <c r="H117" s="24"/>
      <c r="I117" s="25"/>
      <c r="J117" s="26" t="s">
        <v>12</v>
      </c>
      <c r="K117" s="39">
        <f>IF(K45="","",K116-K45)</f>
        <v>-136</v>
      </c>
      <c r="L117" s="39">
        <f>IF(L45="","",L116-L45)</f>
        <v>-136</v>
      </c>
      <c r="M117" s="39">
        <f>IF(M45="","",M116-M45)</f>
        <v>-136</v>
      </c>
      <c r="N117" s="39">
        <f>IF(N45="","",N116-N45)</f>
        <v>-204</v>
      </c>
      <c r="O117" s="39">
        <f>IF(O45="","",O116-O45)</f>
        <v>-136</v>
      </c>
      <c r="P117" s="39">
        <f>SUM(K117:O117)</f>
        <v>-748</v>
      </c>
      <c r="Q117" s="27"/>
      <c r="R117" s="83"/>
    </row>
    <row r="118" spans="1:18" ht="18.75" customHeight="1" x14ac:dyDescent="0.25">
      <c r="A118" s="43"/>
      <c r="E118" s="43"/>
      <c r="I118"/>
      <c r="J118" s="130"/>
      <c r="K118" s="131"/>
      <c r="L118" s="131"/>
      <c r="M118" s="131"/>
      <c r="N118" s="131"/>
      <c r="O118" s="131"/>
      <c r="P118" s="131"/>
      <c r="Q118" s="29"/>
    </row>
    <row r="119" spans="1:18" s="1" customFormat="1" ht="18.75" customHeight="1" thickBot="1" x14ac:dyDescent="0.35">
      <c r="A119" s="46"/>
      <c r="B119" s="41"/>
      <c r="C119" s="41"/>
      <c r="D119" s="133"/>
      <c r="E119" s="41"/>
      <c r="F119" s="41"/>
      <c r="I119" s="90" t="s">
        <v>26</v>
      </c>
      <c r="K119" s="30"/>
      <c r="L119" s="30"/>
      <c r="M119" s="30"/>
      <c r="N119" s="30"/>
      <c r="O119" s="30"/>
      <c r="P119" s="30"/>
      <c r="Q119" s="30"/>
      <c r="R119" s="81"/>
    </row>
    <row r="120" spans="1:18" s="2" customFormat="1" ht="27" customHeight="1" thickBot="1" x14ac:dyDescent="0.25">
      <c r="A120" s="91"/>
      <c r="B120" s="51"/>
      <c r="C120" s="51"/>
      <c r="D120" s="134"/>
      <c r="E120" s="52"/>
      <c r="F120" s="53"/>
      <c r="G120" s="15"/>
      <c r="H120" s="15"/>
      <c r="I120" s="15"/>
      <c r="J120" s="16" t="s">
        <v>16</v>
      </c>
      <c r="K120" s="17">
        <v>2612</v>
      </c>
      <c r="L120" s="17">
        <v>2612</v>
      </c>
      <c r="M120" s="17">
        <v>2612</v>
      </c>
      <c r="N120" s="17">
        <v>3918</v>
      </c>
      <c r="O120" s="17">
        <v>2612</v>
      </c>
      <c r="P120" s="18">
        <f>SUM(K120:O120)</f>
        <v>14366</v>
      </c>
      <c r="Q120" s="37"/>
      <c r="R120" s="76">
        <v>46215</v>
      </c>
    </row>
    <row r="121" spans="1:18" s="13" customFormat="1" ht="30.75" customHeight="1" thickBot="1" x14ac:dyDescent="0.2">
      <c r="A121" s="44" t="s">
        <v>17</v>
      </c>
      <c r="B121" s="50" t="s">
        <v>13</v>
      </c>
      <c r="C121" s="50" t="s">
        <v>14</v>
      </c>
      <c r="D121" s="135" t="s">
        <v>9</v>
      </c>
      <c r="E121" s="50" t="s">
        <v>22</v>
      </c>
      <c r="F121" s="50" t="s">
        <v>8</v>
      </c>
      <c r="G121" s="10" t="s">
        <v>7</v>
      </c>
      <c r="H121" s="10" t="s">
        <v>5</v>
      </c>
      <c r="I121" s="10" t="s">
        <v>6</v>
      </c>
      <c r="J121" s="11" t="s">
        <v>4</v>
      </c>
      <c r="K121" s="14" t="s">
        <v>28</v>
      </c>
      <c r="L121" s="14" t="s">
        <v>29</v>
      </c>
      <c r="M121" s="14" t="s">
        <v>1</v>
      </c>
      <c r="N121" s="14" t="s">
        <v>24</v>
      </c>
      <c r="O121" s="14" t="s">
        <v>25</v>
      </c>
      <c r="P121" s="12" t="s">
        <v>10</v>
      </c>
      <c r="Q121" s="12" t="s">
        <v>3</v>
      </c>
      <c r="R121" s="85" t="s">
        <v>0</v>
      </c>
    </row>
    <row r="122" spans="1:18" s="3" customFormat="1" ht="15.95" customHeight="1" x14ac:dyDescent="0.2">
      <c r="A122" s="86" t="s">
        <v>32</v>
      </c>
      <c r="B122" s="87" t="s">
        <v>31</v>
      </c>
      <c r="C122" s="87">
        <v>14223</v>
      </c>
      <c r="D122" s="87" t="s">
        <v>34</v>
      </c>
      <c r="E122" s="88">
        <f>P120</f>
        <v>14366</v>
      </c>
      <c r="F122" s="89"/>
      <c r="G122" s="4">
        <v>46184</v>
      </c>
      <c r="H122" s="5">
        <v>20</v>
      </c>
      <c r="I122" s="5"/>
      <c r="J122" s="5">
        <v>5</v>
      </c>
      <c r="K122" s="5">
        <v>40</v>
      </c>
      <c r="L122" s="5">
        <v>40</v>
      </c>
      <c r="M122" s="5">
        <v>40</v>
      </c>
      <c r="N122" s="5">
        <v>60</v>
      </c>
      <c r="O122" s="5">
        <v>40</v>
      </c>
      <c r="P122" s="6">
        <f t="shared" ref="P122:P130" si="88">IF(G122="","",SUM(K122:O122))</f>
        <v>220</v>
      </c>
      <c r="Q122" s="7">
        <f>IF(P122="","",P122)</f>
        <v>220</v>
      </c>
      <c r="R122" s="79" t="s">
        <v>23</v>
      </c>
    </row>
    <row r="123" spans="1:18" ht="15.95" customHeight="1" x14ac:dyDescent="0.25">
      <c r="A123" s="47" t="s">
        <v>37</v>
      </c>
      <c r="B123" s="55"/>
      <c r="C123" s="9"/>
      <c r="D123" s="136" t="s">
        <v>43</v>
      </c>
      <c r="E123" s="56"/>
      <c r="F123" s="57"/>
      <c r="G123" s="4">
        <v>46184</v>
      </c>
      <c r="H123" s="5">
        <v>20</v>
      </c>
      <c r="I123" s="5"/>
      <c r="J123" s="5">
        <v>6</v>
      </c>
      <c r="K123" s="5">
        <v>40</v>
      </c>
      <c r="L123" s="5">
        <v>40</v>
      </c>
      <c r="M123" s="5">
        <v>40</v>
      </c>
      <c r="N123" s="5">
        <v>60</v>
      </c>
      <c r="O123" s="5">
        <v>40</v>
      </c>
      <c r="P123" s="6">
        <f t="shared" si="88"/>
        <v>220</v>
      </c>
      <c r="Q123" s="6">
        <f>IF(P123="","",Q122+P123)</f>
        <v>440</v>
      </c>
      <c r="R123" s="42" t="s">
        <v>23</v>
      </c>
    </row>
    <row r="124" spans="1:18" ht="15.95" customHeight="1" x14ac:dyDescent="0.25">
      <c r="A124" s="47"/>
      <c r="B124" s="55"/>
      <c r="C124" s="9"/>
      <c r="D124" s="137"/>
      <c r="E124" s="56"/>
      <c r="F124" s="57"/>
      <c r="G124" s="4">
        <v>46184</v>
      </c>
      <c r="H124" s="5">
        <v>20</v>
      </c>
      <c r="I124" s="5"/>
      <c r="J124" s="5">
        <v>7</v>
      </c>
      <c r="K124" s="5">
        <v>40</v>
      </c>
      <c r="L124" s="5">
        <v>40</v>
      </c>
      <c r="M124" s="5">
        <v>40</v>
      </c>
      <c r="N124" s="5">
        <v>60</v>
      </c>
      <c r="O124" s="5">
        <v>40</v>
      </c>
      <c r="P124" s="6">
        <f t="shared" si="88"/>
        <v>220</v>
      </c>
      <c r="Q124" s="6">
        <f t="shared" ref="Q124" si="89">IF(P124="","",Q123+P124)</f>
        <v>660</v>
      </c>
      <c r="R124" s="42" t="s">
        <v>23</v>
      </c>
    </row>
    <row r="125" spans="1:18" ht="15.95" customHeight="1" x14ac:dyDescent="0.25">
      <c r="A125" s="47"/>
      <c r="B125" s="55"/>
      <c r="C125" s="9"/>
      <c r="D125" s="136"/>
      <c r="E125" s="56"/>
      <c r="F125" s="57"/>
      <c r="G125" s="4">
        <v>46184</v>
      </c>
      <c r="H125" s="5">
        <v>20</v>
      </c>
      <c r="I125" s="5"/>
      <c r="J125" s="5">
        <v>8</v>
      </c>
      <c r="K125" s="5">
        <v>40</v>
      </c>
      <c r="L125" s="5">
        <v>40</v>
      </c>
      <c r="M125" s="5">
        <v>40</v>
      </c>
      <c r="N125" s="5">
        <v>60</v>
      </c>
      <c r="O125" s="5">
        <v>40</v>
      </c>
      <c r="P125" s="6">
        <f t="shared" si="88"/>
        <v>220</v>
      </c>
      <c r="Q125" s="6">
        <f>IF(P125="","",Q124+P125)</f>
        <v>880</v>
      </c>
      <c r="R125" s="42" t="s">
        <v>23</v>
      </c>
    </row>
    <row r="126" spans="1:18" ht="15.95" customHeight="1" x14ac:dyDescent="0.25">
      <c r="A126" s="47"/>
      <c r="B126" s="55"/>
      <c r="C126" s="9"/>
      <c r="D126" s="136"/>
      <c r="E126" s="56"/>
      <c r="F126" s="57"/>
      <c r="G126" s="126">
        <v>46184</v>
      </c>
      <c r="H126" s="127">
        <v>20</v>
      </c>
      <c r="I126" s="127"/>
      <c r="J126" s="127">
        <v>9</v>
      </c>
      <c r="K126" s="127">
        <v>40</v>
      </c>
      <c r="L126" s="127">
        <v>40</v>
      </c>
      <c r="M126" s="127">
        <v>40</v>
      </c>
      <c r="N126" s="127">
        <v>60</v>
      </c>
      <c r="O126" s="127">
        <v>40</v>
      </c>
      <c r="P126" s="78">
        <f t="shared" si="88"/>
        <v>220</v>
      </c>
      <c r="Q126" s="78">
        <f t="shared" ref="Q126" si="90">IF(P126="","",Q125+P126)</f>
        <v>1100</v>
      </c>
      <c r="R126" s="74" t="s">
        <v>23</v>
      </c>
    </row>
    <row r="127" spans="1:18" ht="15.95" customHeight="1" x14ac:dyDescent="0.25">
      <c r="A127" s="47"/>
      <c r="B127" s="55"/>
      <c r="C127" s="9"/>
      <c r="D127" s="136"/>
      <c r="E127" s="56"/>
      <c r="F127" s="57"/>
      <c r="G127" s="126">
        <v>46186</v>
      </c>
      <c r="H127" s="127">
        <v>20</v>
      </c>
      <c r="I127" s="127"/>
      <c r="J127" s="127">
        <v>10</v>
      </c>
      <c r="K127" s="127">
        <v>40</v>
      </c>
      <c r="L127" s="127">
        <v>40</v>
      </c>
      <c r="M127" s="127">
        <v>40</v>
      </c>
      <c r="N127" s="127">
        <v>60</v>
      </c>
      <c r="O127" s="127">
        <v>40</v>
      </c>
      <c r="P127" s="78">
        <f t="shared" si="88"/>
        <v>220</v>
      </c>
      <c r="Q127" s="78">
        <f>IF(P127="","",Q126+P127)</f>
        <v>1320</v>
      </c>
      <c r="R127" s="74" t="s">
        <v>23</v>
      </c>
    </row>
    <row r="128" spans="1:18" ht="15.95" customHeight="1" x14ac:dyDescent="0.25">
      <c r="A128" s="47"/>
      <c r="B128" s="55"/>
      <c r="C128" s="9"/>
      <c r="D128" s="136"/>
      <c r="E128" s="56"/>
      <c r="F128" s="57"/>
      <c r="G128" s="126">
        <v>46186</v>
      </c>
      <c r="H128" s="127">
        <v>20</v>
      </c>
      <c r="I128" s="127"/>
      <c r="J128" s="127">
        <v>11</v>
      </c>
      <c r="K128" s="127">
        <v>40</v>
      </c>
      <c r="L128" s="127">
        <v>40</v>
      </c>
      <c r="M128" s="127">
        <v>40</v>
      </c>
      <c r="N128" s="127">
        <v>60</v>
      </c>
      <c r="O128" s="127">
        <v>40</v>
      </c>
      <c r="P128" s="78">
        <f t="shared" si="88"/>
        <v>220</v>
      </c>
      <c r="Q128" s="78">
        <f t="shared" ref="Q128" si="91">IF(P128="","",Q127+P128)</f>
        <v>1540</v>
      </c>
      <c r="R128" s="74" t="s">
        <v>23</v>
      </c>
    </row>
    <row r="129" spans="1:18" ht="15.95" customHeight="1" x14ac:dyDescent="0.25">
      <c r="A129" s="47"/>
      <c r="B129" s="55"/>
      <c r="C129" s="9"/>
      <c r="D129" s="136"/>
      <c r="E129" s="56"/>
      <c r="F129" s="57"/>
      <c r="G129" s="126">
        <v>46186</v>
      </c>
      <c r="H129" s="127">
        <v>20</v>
      </c>
      <c r="I129" s="127"/>
      <c r="J129" s="127">
        <v>12</v>
      </c>
      <c r="K129" s="127">
        <v>40</v>
      </c>
      <c r="L129" s="127">
        <v>40</v>
      </c>
      <c r="M129" s="127">
        <v>40</v>
      </c>
      <c r="N129" s="127">
        <v>60</v>
      </c>
      <c r="O129" s="127">
        <v>40</v>
      </c>
      <c r="P129" s="78">
        <f t="shared" si="88"/>
        <v>220</v>
      </c>
      <c r="Q129" s="78">
        <f>IF(P129="","",Q128+P129)</f>
        <v>1760</v>
      </c>
      <c r="R129" s="74" t="s">
        <v>23</v>
      </c>
    </row>
    <row r="130" spans="1:18" ht="15.95" customHeight="1" x14ac:dyDescent="0.25">
      <c r="A130" s="47"/>
      <c r="B130" s="55"/>
      <c r="C130" s="9"/>
      <c r="D130" s="136"/>
      <c r="E130" s="56"/>
      <c r="F130" s="57"/>
      <c r="G130" s="126">
        <v>46186</v>
      </c>
      <c r="H130" s="127">
        <v>20</v>
      </c>
      <c r="I130" s="127"/>
      <c r="J130" s="127">
        <v>13</v>
      </c>
      <c r="K130" s="127">
        <v>40</v>
      </c>
      <c r="L130" s="127">
        <v>40</v>
      </c>
      <c r="M130" s="127">
        <v>40</v>
      </c>
      <c r="N130" s="127">
        <v>60</v>
      </c>
      <c r="O130" s="127">
        <v>40</v>
      </c>
      <c r="P130" s="78">
        <f t="shared" si="88"/>
        <v>220</v>
      </c>
      <c r="Q130" s="78">
        <f t="shared" ref="Q130" si="92">IF(P130="","",Q129+P130)</f>
        <v>1980</v>
      </c>
      <c r="R130" s="74" t="s">
        <v>23</v>
      </c>
    </row>
    <row r="131" spans="1:18" ht="15.95" customHeight="1" x14ac:dyDescent="0.25">
      <c r="A131" s="47"/>
      <c r="B131" s="55"/>
      <c r="C131" s="9"/>
      <c r="D131" s="136"/>
      <c r="E131" s="56"/>
      <c r="F131" s="57"/>
      <c r="G131" s="126">
        <v>46186</v>
      </c>
      <c r="H131" s="127">
        <v>20</v>
      </c>
      <c r="I131" s="127"/>
      <c r="J131" s="127">
        <v>14</v>
      </c>
      <c r="K131" s="127">
        <v>40</v>
      </c>
      <c r="L131" s="127">
        <v>40</v>
      </c>
      <c r="M131" s="127">
        <v>40</v>
      </c>
      <c r="N131" s="127">
        <v>60</v>
      </c>
      <c r="O131" s="127">
        <v>40</v>
      </c>
      <c r="P131" s="78">
        <f t="shared" ref="P131:P132" si="93">IF(G131="","",SUM(K131:O131))</f>
        <v>220</v>
      </c>
      <c r="Q131" s="78">
        <f>IF(P131="","",Q130+P131)</f>
        <v>2200</v>
      </c>
      <c r="R131" s="74" t="s">
        <v>23</v>
      </c>
    </row>
    <row r="132" spans="1:18" ht="15.95" customHeight="1" x14ac:dyDescent="0.25">
      <c r="A132" s="47"/>
      <c r="B132" s="55"/>
      <c r="C132" s="9"/>
      <c r="D132" s="136"/>
      <c r="E132" s="56"/>
      <c r="F132" s="57"/>
      <c r="G132" s="126">
        <v>46186</v>
      </c>
      <c r="H132" s="127">
        <v>20</v>
      </c>
      <c r="I132" s="127"/>
      <c r="J132" s="127">
        <v>15</v>
      </c>
      <c r="K132" s="127">
        <v>40</v>
      </c>
      <c r="L132" s="127">
        <v>40</v>
      </c>
      <c r="M132" s="127">
        <v>40</v>
      </c>
      <c r="N132" s="127">
        <v>60</v>
      </c>
      <c r="O132" s="127">
        <v>40</v>
      </c>
      <c r="P132" s="78">
        <f t="shared" si="93"/>
        <v>220</v>
      </c>
      <c r="Q132" s="78">
        <f t="shared" ref="Q132" si="94">IF(P132="","",Q131+P132)</f>
        <v>2420</v>
      </c>
      <c r="R132" s="74" t="s">
        <v>23</v>
      </c>
    </row>
    <row r="133" spans="1:18" ht="15.95" customHeight="1" x14ac:dyDescent="0.25">
      <c r="A133" s="47"/>
      <c r="B133" s="55"/>
      <c r="C133" s="9"/>
      <c r="D133" s="136"/>
      <c r="E133" s="56"/>
      <c r="F133" s="57"/>
      <c r="G133" s="126">
        <v>46187</v>
      </c>
      <c r="H133" s="127">
        <v>20</v>
      </c>
      <c r="I133" s="127"/>
      <c r="J133" s="127">
        <v>16</v>
      </c>
      <c r="K133" s="127">
        <v>40</v>
      </c>
      <c r="L133" s="127">
        <v>40</v>
      </c>
      <c r="M133" s="127">
        <v>40</v>
      </c>
      <c r="N133" s="127">
        <v>60</v>
      </c>
      <c r="O133" s="127">
        <v>40</v>
      </c>
      <c r="P133" s="78">
        <f t="shared" ref="P133" si="95">IF(G133="","",SUM(K133:O133))</f>
        <v>220</v>
      </c>
      <c r="Q133" s="78">
        <f t="shared" ref="Q133" si="96">IF(P133="","",Q132+P133)</f>
        <v>2640</v>
      </c>
      <c r="R133" s="74" t="s">
        <v>23</v>
      </c>
    </row>
    <row r="134" spans="1:18" ht="15.95" customHeight="1" x14ac:dyDescent="0.25">
      <c r="A134" s="47"/>
      <c r="B134" s="55"/>
      <c r="C134" s="9"/>
      <c r="D134" s="136"/>
      <c r="E134" s="56"/>
      <c r="F134" s="57"/>
      <c r="G134" s="126">
        <v>46187</v>
      </c>
      <c r="H134" s="127">
        <v>20</v>
      </c>
      <c r="I134" s="127"/>
      <c r="J134" s="127">
        <v>17</v>
      </c>
      <c r="K134" s="127">
        <v>40</v>
      </c>
      <c r="L134" s="127">
        <v>40</v>
      </c>
      <c r="M134" s="127">
        <v>40</v>
      </c>
      <c r="N134" s="127">
        <v>60</v>
      </c>
      <c r="O134" s="127">
        <v>40</v>
      </c>
      <c r="P134" s="78">
        <f t="shared" ref="P134:P135" si="97">IF(G134="","",SUM(K134:O134))</f>
        <v>220</v>
      </c>
      <c r="Q134" s="78">
        <f t="shared" ref="Q134:Q135" si="98">IF(P134="","",Q133+P134)</f>
        <v>2860</v>
      </c>
      <c r="R134" s="74" t="s">
        <v>23</v>
      </c>
    </row>
    <row r="135" spans="1:18" ht="15.95" customHeight="1" x14ac:dyDescent="0.25">
      <c r="A135" s="47"/>
      <c r="B135" s="55"/>
      <c r="C135" s="9"/>
      <c r="D135" s="136"/>
      <c r="E135" s="56"/>
      <c r="F135" s="57"/>
      <c r="G135" s="126">
        <v>46187</v>
      </c>
      <c r="H135" s="127">
        <v>20</v>
      </c>
      <c r="I135" s="127"/>
      <c r="J135" s="127">
        <v>18</v>
      </c>
      <c r="K135" s="127">
        <v>40</v>
      </c>
      <c r="L135" s="127">
        <v>40</v>
      </c>
      <c r="M135" s="127">
        <v>40</v>
      </c>
      <c r="N135" s="127">
        <v>60</v>
      </c>
      <c r="O135" s="127">
        <v>40</v>
      </c>
      <c r="P135" s="78">
        <f t="shared" si="97"/>
        <v>220</v>
      </c>
      <c r="Q135" s="78">
        <f t="shared" si="98"/>
        <v>3080</v>
      </c>
      <c r="R135" s="74" t="s">
        <v>23</v>
      </c>
    </row>
    <row r="136" spans="1:18" ht="15.95" customHeight="1" x14ac:dyDescent="0.25">
      <c r="A136" s="47"/>
      <c r="B136" s="55"/>
      <c r="C136" s="9"/>
      <c r="D136" s="136"/>
      <c r="E136" s="56"/>
      <c r="F136" s="57"/>
      <c r="G136" s="126">
        <v>46187</v>
      </c>
      <c r="H136" s="127">
        <v>20</v>
      </c>
      <c r="I136" s="127"/>
      <c r="J136" s="127">
        <v>19</v>
      </c>
      <c r="K136" s="127">
        <v>40</v>
      </c>
      <c r="L136" s="127">
        <v>40</v>
      </c>
      <c r="M136" s="127">
        <v>40</v>
      </c>
      <c r="N136" s="127">
        <v>60</v>
      </c>
      <c r="O136" s="127">
        <v>40</v>
      </c>
      <c r="P136" s="78">
        <f t="shared" ref="P136:P137" si="99">IF(G136="","",SUM(K136:O136))</f>
        <v>220</v>
      </c>
      <c r="Q136" s="78">
        <f t="shared" ref="Q136:Q137" si="100">IF(P136="","",Q135+P136)</f>
        <v>3300</v>
      </c>
      <c r="R136" s="74" t="s">
        <v>23</v>
      </c>
    </row>
    <row r="137" spans="1:18" ht="15.75" customHeight="1" x14ac:dyDescent="0.25">
      <c r="A137" s="47"/>
      <c r="B137" s="55"/>
      <c r="C137" s="9"/>
      <c r="D137" s="136"/>
      <c r="E137" s="56"/>
      <c r="F137" s="57"/>
      <c r="G137" s="126">
        <v>46188</v>
      </c>
      <c r="H137" s="127">
        <v>20</v>
      </c>
      <c r="I137" s="127"/>
      <c r="J137" s="127">
        <v>20</v>
      </c>
      <c r="K137" s="127">
        <v>40</v>
      </c>
      <c r="L137" s="127">
        <v>40</v>
      </c>
      <c r="M137" s="127">
        <v>40</v>
      </c>
      <c r="N137" s="127">
        <v>60</v>
      </c>
      <c r="O137" s="127">
        <v>40</v>
      </c>
      <c r="P137" s="78">
        <f t="shared" si="99"/>
        <v>220</v>
      </c>
      <c r="Q137" s="78">
        <f t="shared" si="100"/>
        <v>3520</v>
      </c>
      <c r="R137" s="74" t="s">
        <v>23</v>
      </c>
    </row>
    <row r="138" spans="1:18" ht="15.75" customHeight="1" x14ac:dyDescent="0.25">
      <c r="A138" s="47"/>
      <c r="B138" s="55"/>
      <c r="C138" s="9"/>
      <c r="D138" s="136"/>
      <c r="E138" s="56"/>
      <c r="F138" s="57"/>
      <c r="G138" s="126">
        <v>46188</v>
      </c>
      <c r="H138" s="127">
        <v>20</v>
      </c>
      <c r="I138" s="127"/>
      <c r="J138" s="127">
        <v>21</v>
      </c>
      <c r="K138" s="127">
        <v>40</v>
      </c>
      <c r="L138" s="127">
        <v>40</v>
      </c>
      <c r="M138" s="127">
        <v>40</v>
      </c>
      <c r="N138" s="127">
        <v>60</v>
      </c>
      <c r="O138" s="127">
        <v>40</v>
      </c>
      <c r="P138" s="78">
        <f t="shared" ref="P138:P140" si="101">IF(G138="","",SUM(K138:O138))</f>
        <v>220</v>
      </c>
      <c r="Q138" s="78">
        <f t="shared" ref="Q138:Q140" si="102">IF(P138="","",Q137+P138)</f>
        <v>3740</v>
      </c>
      <c r="R138" s="74" t="s">
        <v>23</v>
      </c>
    </row>
    <row r="139" spans="1:18" ht="15.75" customHeight="1" x14ac:dyDescent="0.25">
      <c r="A139" s="47"/>
      <c r="B139" s="55"/>
      <c r="C139" s="9"/>
      <c r="D139" s="136"/>
      <c r="E139" s="56"/>
      <c r="F139" s="57"/>
      <c r="G139" s="126">
        <v>46188</v>
      </c>
      <c r="H139" s="127">
        <v>20</v>
      </c>
      <c r="I139" s="127"/>
      <c r="J139" s="127">
        <v>22</v>
      </c>
      <c r="K139" s="127">
        <v>40</v>
      </c>
      <c r="L139" s="127">
        <v>40</v>
      </c>
      <c r="M139" s="127">
        <v>40</v>
      </c>
      <c r="N139" s="127">
        <v>60</v>
      </c>
      <c r="O139" s="127">
        <v>40</v>
      </c>
      <c r="P139" s="78">
        <f t="shared" si="101"/>
        <v>220</v>
      </c>
      <c r="Q139" s="78">
        <f t="shared" si="102"/>
        <v>3960</v>
      </c>
      <c r="R139" s="74" t="s">
        <v>23</v>
      </c>
    </row>
    <row r="140" spans="1:18" ht="15.75" customHeight="1" x14ac:dyDescent="0.25">
      <c r="A140" s="47"/>
      <c r="B140" s="55"/>
      <c r="C140" s="9"/>
      <c r="D140" s="136"/>
      <c r="E140" s="56"/>
      <c r="F140" s="57"/>
      <c r="G140" s="126">
        <v>46188</v>
      </c>
      <c r="H140" s="127">
        <v>20</v>
      </c>
      <c r="I140" s="127"/>
      <c r="J140" s="127">
        <v>23</v>
      </c>
      <c r="K140" s="127">
        <v>40</v>
      </c>
      <c r="L140" s="127">
        <v>40</v>
      </c>
      <c r="M140" s="127">
        <v>40</v>
      </c>
      <c r="N140" s="127">
        <v>60</v>
      </c>
      <c r="O140" s="127">
        <v>40</v>
      </c>
      <c r="P140" s="78">
        <f t="shared" si="101"/>
        <v>220</v>
      </c>
      <c r="Q140" s="78">
        <f t="shared" si="102"/>
        <v>4180</v>
      </c>
      <c r="R140" s="74" t="s">
        <v>23</v>
      </c>
    </row>
    <row r="141" spans="1:18" ht="15.75" customHeight="1" x14ac:dyDescent="0.25">
      <c r="A141" s="47"/>
      <c r="B141" s="55"/>
      <c r="C141" s="9"/>
      <c r="D141" s="136"/>
      <c r="E141" s="56"/>
      <c r="F141" s="57"/>
      <c r="G141" s="126">
        <v>46188</v>
      </c>
      <c r="H141" s="127">
        <v>20</v>
      </c>
      <c r="I141" s="127"/>
      <c r="J141" s="127">
        <v>24</v>
      </c>
      <c r="K141" s="127">
        <v>40</v>
      </c>
      <c r="L141" s="127">
        <v>40</v>
      </c>
      <c r="M141" s="127">
        <v>40</v>
      </c>
      <c r="N141" s="127">
        <v>60</v>
      </c>
      <c r="O141" s="127">
        <v>40</v>
      </c>
      <c r="P141" s="78">
        <f t="shared" ref="P141:P142" si="103">IF(G141="","",SUM(K141:O141))</f>
        <v>220</v>
      </c>
      <c r="Q141" s="78">
        <f t="shared" ref="Q141:Q142" si="104">IF(P141="","",Q140+P141)</f>
        <v>4400</v>
      </c>
      <c r="R141" s="74" t="s">
        <v>23</v>
      </c>
    </row>
    <row r="142" spans="1:18" ht="15.75" customHeight="1" x14ac:dyDescent="0.25">
      <c r="A142" s="47"/>
      <c r="B142" s="55"/>
      <c r="C142" s="9"/>
      <c r="D142" s="136"/>
      <c r="E142" s="56"/>
      <c r="F142" s="57"/>
      <c r="G142" s="126">
        <v>46188</v>
      </c>
      <c r="H142" s="127">
        <v>20</v>
      </c>
      <c r="I142" s="127"/>
      <c r="J142" s="127">
        <v>25</v>
      </c>
      <c r="K142" s="127">
        <v>40</v>
      </c>
      <c r="L142" s="127">
        <v>40</v>
      </c>
      <c r="M142" s="127">
        <v>40</v>
      </c>
      <c r="N142" s="127">
        <v>60</v>
      </c>
      <c r="O142" s="127">
        <v>40</v>
      </c>
      <c r="P142" s="78">
        <f t="shared" si="103"/>
        <v>220</v>
      </c>
      <c r="Q142" s="78">
        <f t="shared" si="104"/>
        <v>4620</v>
      </c>
      <c r="R142" s="74" t="s">
        <v>23</v>
      </c>
    </row>
    <row r="143" spans="1:18" ht="15.75" customHeight="1" x14ac:dyDescent="0.25">
      <c r="A143" s="47"/>
      <c r="B143" s="55"/>
      <c r="C143" s="9"/>
      <c r="D143" s="136"/>
      <c r="E143" s="56"/>
      <c r="F143" s="57"/>
      <c r="G143" s="126">
        <v>46188</v>
      </c>
      <c r="H143" s="127">
        <v>20</v>
      </c>
      <c r="I143" s="127"/>
      <c r="J143" s="127">
        <v>26</v>
      </c>
      <c r="K143" s="127">
        <v>40</v>
      </c>
      <c r="L143" s="127">
        <v>40</v>
      </c>
      <c r="M143" s="127">
        <v>40</v>
      </c>
      <c r="N143" s="127">
        <v>60</v>
      </c>
      <c r="O143" s="127">
        <v>40</v>
      </c>
      <c r="P143" s="78">
        <f t="shared" ref="P143:P145" si="105">IF(G143="","",SUM(K143:O143))</f>
        <v>220</v>
      </c>
      <c r="Q143" s="78">
        <f t="shared" ref="Q143:Q145" si="106">IF(P143="","",Q142+P143)</f>
        <v>4840</v>
      </c>
      <c r="R143" s="74" t="s">
        <v>23</v>
      </c>
    </row>
    <row r="144" spans="1:18" ht="15.75" customHeight="1" x14ac:dyDescent="0.25">
      <c r="A144" s="47"/>
      <c r="B144" s="55"/>
      <c r="C144" s="9"/>
      <c r="D144" s="136"/>
      <c r="E144" s="56"/>
      <c r="F144" s="57"/>
      <c r="G144" s="126">
        <v>46188</v>
      </c>
      <c r="H144" s="127">
        <v>20</v>
      </c>
      <c r="I144" s="127"/>
      <c r="J144" s="127">
        <v>27</v>
      </c>
      <c r="K144" s="127">
        <v>40</v>
      </c>
      <c r="L144" s="127">
        <v>40</v>
      </c>
      <c r="M144" s="127">
        <v>40</v>
      </c>
      <c r="N144" s="127">
        <v>60</v>
      </c>
      <c r="O144" s="127">
        <v>40</v>
      </c>
      <c r="P144" s="78">
        <f t="shared" si="105"/>
        <v>220</v>
      </c>
      <c r="Q144" s="78">
        <f t="shared" si="106"/>
        <v>5060</v>
      </c>
      <c r="R144" s="74" t="s">
        <v>23</v>
      </c>
    </row>
    <row r="145" spans="1:18" ht="15.75" customHeight="1" x14ac:dyDescent="0.25">
      <c r="A145" s="47"/>
      <c r="B145" s="55"/>
      <c r="C145" s="9"/>
      <c r="D145" s="136"/>
      <c r="E145" s="56"/>
      <c r="F145" s="57"/>
      <c r="G145" s="126">
        <v>46188</v>
      </c>
      <c r="H145" s="127">
        <v>20</v>
      </c>
      <c r="I145" s="127"/>
      <c r="J145" s="127">
        <v>28</v>
      </c>
      <c r="K145" s="127">
        <v>40</v>
      </c>
      <c r="L145" s="127">
        <v>40</v>
      </c>
      <c r="M145" s="127">
        <v>40</v>
      </c>
      <c r="N145" s="127">
        <v>60</v>
      </c>
      <c r="O145" s="127">
        <v>40</v>
      </c>
      <c r="P145" s="78">
        <f t="shared" si="105"/>
        <v>220</v>
      </c>
      <c r="Q145" s="78">
        <f t="shared" si="106"/>
        <v>5280</v>
      </c>
      <c r="R145" s="74" t="s">
        <v>23</v>
      </c>
    </row>
    <row r="146" spans="1:18" ht="15.75" customHeight="1" x14ac:dyDescent="0.25">
      <c r="A146" s="47"/>
      <c r="B146" s="55"/>
      <c r="C146" s="9"/>
      <c r="D146" s="136"/>
      <c r="E146" s="56"/>
      <c r="F146" s="57"/>
      <c r="G146" s="126">
        <v>46189</v>
      </c>
      <c r="H146" s="127">
        <v>20</v>
      </c>
      <c r="I146" s="127"/>
      <c r="J146" s="127">
        <v>29</v>
      </c>
      <c r="K146" s="127">
        <v>40</v>
      </c>
      <c r="L146" s="127">
        <v>40</v>
      </c>
      <c r="M146" s="127">
        <v>40</v>
      </c>
      <c r="N146" s="127">
        <v>60</v>
      </c>
      <c r="O146" s="127">
        <v>40</v>
      </c>
      <c r="P146" s="78">
        <f t="shared" ref="P146:P147" si="107">IF(G146="","",SUM(K146:O146))</f>
        <v>220</v>
      </c>
      <c r="Q146" s="78">
        <f>IF(P146="","",Q145+P146)</f>
        <v>5500</v>
      </c>
      <c r="R146" s="74" t="s">
        <v>23</v>
      </c>
    </row>
    <row r="147" spans="1:18" ht="15.75" customHeight="1" x14ac:dyDescent="0.25">
      <c r="A147" s="47"/>
      <c r="B147" s="55"/>
      <c r="C147" s="9"/>
      <c r="D147" s="136"/>
      <c r="E147" s="56"/>
      <c r="F147" s="57"/>
      <c r="G147" s="126">
        <v>46189</v>
      </c>
      <c r="H147" s="127">
        <v>20</v>
      </c>
      <c r="I147" s="127"/>
      <c r="J147" s="127">
        <v>30</v>
      </c>
      <c r="K147" s="127">
        <v>40</v>
      </c>
      <c r="L147" s="127">
        <v>40</v>
      </c>
      <c r="M147" s="127">
        <v>40</v>
      </c>
      <c r="N147" s="127">
        <v>60</v>
      </c>
      <c r="O147" s="127">
        <v>40</v>
      </c>
      <c r="P147" s="78">
        <f t="shared" si="107"/>
        <v>220</v>
      </c>
      <c r="Q147" s="78">
        <f>IF(P147="","",Q146+P147)</f>
        <v>5720</v>
      </c>
      <c r="R147" s="74" t="s">
        <v>23</v>
      </c>
    </row>
    <row r="148" spans="1:18" ht="15.75" customHeight="1" x14ac:dyDescent="0.25">
      <c r="A148" s="47"/>
      <c r="B148" s="55"/>
      <c r="C148" s="9"/>
      <c r="D148" s="136"/>
      <c r="E148" s="56"/>
      <c r="F148" s="57"/>
      <c r="G148" s="126">
        <v>46189</v>
      </c>
      <c r="H148" s="127">
        <v>20</v>
      </c>
      <c r="I148" s="127"/>
      <c r="J148" s="127">
        <v>31</v>
      </c>
      <c r="K148" s="127">
        <v>40</v>
      </c>
      <c r="L148" s="127">
        <v>40</v>
      </c>
      <c r="M148" s="127">
        <v>40</v>
      </c>
      <c r="N148" s="127">
        <v>60</v>
      </c>
      <c r="O148" s="127">
        <v>40</v>
      </c>
      <c r="P148" s="78">
        <f t="shared" ref="P148:P152" si="108">IF(G148="","",SUM(K148:O148))</f>
        <v>220</v>
      </c>
      <c r="Q148" s="78">
        <f t="shared" ref="Q148:Q152" si="109">IF(P148="","",Q147+P148)</f>
        <v>5940</v>
      </c>
      <c r="R148" s="74" t="s">
        <v>23</v>
      </c>
    </row>
    <row r="149" spans="1:18" ht="15.75" customHeight="1" x14ac:dyDescent="0.25">
      <c r="A149" s="47"/>
      <c r="B149" s="55"/>
      <c r="C149" s="9"/>
      <c r="D149" s="136"/>
      <c r="E149" s="56"/>
      <c r="F149" s="57"/>
      <c r="G149" s="126">
        <v>46189</v>
      </c>
      <c r="H149" s="127">
        <v>20</v>
      </c>
      <c r="I149" s="127"/>
      <c r="J149" s="127">
        <v>32</v>
      </c>
      <c r="K149" s="127">
        <v>40</v>
      </c>
      <c r="L149" s="127">
        <v>40</v>
      </c>
      <c r="M149" s="127">
        <v>40</v>
      </c>
      <c r="N149" s="127">
        <v>60</v>
      </c>
      <c r="O149" s="127">
        <v>40</v>
      </c>
      <c r="P149" s="78">
        <f t="shared" si="108"/>
        <v>220</v>
      </c>
      <c r="Q149" s="78">
        <f t="shared" si="109"/>
        <v>6160</v>
      </c>
      <c r="R149" s="74" t="s">
        <v>23</v>
      </c>
    </row>
    <row r="150" spans="1:18" ht="15.75" customHeight="1" x14ac:dyDescent="0.25">
      <c r="A150" s="47"/>
      <c r="B150" s="55"/>
      <c r="C150" s="9"/>
      <c r="D150" s="136"/>
      <c r="E150" s="56"/>
      <c r="F150" s="57"/>
      <c r="G150" s="126">
        <v>46189</v>
      </c>
      <c r="H150" s="127">
        <v>20</v>
      </c>
      <c r="I150" s="127"/>
      <c r="J150" s="127">
        <v>33</v>
      </c>
      <c r="K150" s="127">
        <v>40</v>
      </c>
      <c r="L150" s="127">
        <v>40</v>
      </c>
      <c r="M150" s="127">
        <v>40</v>
      </c>
      <c r="N150" s="127">
        <v>60</v>
      </c>
      <c r="O150" s="127">
        <v>40</v>
      </c>
      <c r="P150" s="78">
        <f t="shared" si="108"/>
        <v>220</v>
      </c>
      <c r="Q150" s="78">
        <f t="shared" si="109"/>
        <v>6380</v>
      </c>
      <c r="R150" s="74" t="s">
        <v>23</v>
      </c>
    </row>
    <row r="151" spans="1:18" ht="15.75" customHeight="1" x14ac:dyDescent="0.25">
      <c r="A151" s="47"/>
      <c r="B151" s="55"/>
      <c r="C151" s="9"/>
      <c r="D151" s="136"/>
      <c r="E151" s="56"/>
      <c r="F151" s="57"/>
      <c r="G151" s="126">
        <v>46189</v>
      </c>
      <c r="H151" s="127">
        <v>20</v>
      </c>
      <c r="I151" s="127"/>
      <c r="J151" s="127">
        <v>34</v>
      </c>
      <c r="K151" s="127">
        <v>40</v>
      </c>
      <c r="L151" s="127">
        <v>40</v>
      </c>
      <c r="M151" s="127">
        <v>40</v>
      </c>
      <c r="N151" s="127">
        <v>60</v>
      </c>
      <c r="O151" s="127">
        <v>40</v>
      </c>
      <c r="P151" s="78">
        <f t="shared" si="108"/>
        <v>220</v>
      </c>
      <c r="Q151" s="78">
        <f t="shared" si="109"/>
        <v>6600</v>
      </c>
      <c r="R151" s="74" t="s">
        <v>23</v>
      </c>
    </row>
    <row r="152" spans="1:18" ht="15.75" customHeight="1" x14ac:dyDescent="0.25">
      <c r="A152" s="47"/>
      <c r="B152" s="55"/>
      <c r="C152" s="9"/>
      <c r="D152" s="136"/>
      <c r="E152" s="56"/>
      <c r="F152" s="57"/>
      <c r="G152" s="126">
        <v>46189</v>
      </c>
      <c r="H152" s="127">
        <v>20</v>
      </c>
      <c r="I152" s="127"/>
      <c r="J152" s="127">
        <v>35</v>
      </c>
      <c r="K152" s="127">
        <v>40</v>
      </c>
      <c r="L152" s="127">
        <v>40</v>
      </c>
      <c r="M152" s="127">
        <v>40</v>
      </c>
      <c r="N152" s="127">
        <v>60</v>
      </c>
      <c r="O152" s="127">
        <v>40</v>
      </c>
      <c r="P152" s="78">
        <f t="shared" si="108"/>
        <v>220</v>
      </c>
      <c r="Q152" s="78">
        <f t="shared" si="109"/>
        <v>6820</v>
      </c>
      <c r="R152" s="74" t="s">
        <v>23</v>
      </c>
    </row>
    <row r="153" spans="1:18" ht="15.75" customHeight="1" x14ac:dyDescent="0.25">
      <c r="A153" s="47"/>
      <c r="B153" s="55"/>
      <c r="C153" s="9"/>
      <c r="D153" s="136"/>
      <c r="E153" s="56"/>
      <c r="F153" s="57"/>
      <c r="G153" s="126">
        <v>46190</v>
      </c>
      <c r="H153" s="127">
        <v>20</v>
      </c>
      <c r="I153" s="127"/>
      <c r="J153" s="127">
        <v>36</v>
      </c>
      <c r="K153" s="127">
        <v>40</v>
      </c>
      <c r="L153" s="127">
        <v>40</v>
      </c>
      <c r="M153" s="127">
        <v>40</v>
      </c>
      <c r="N153" s="127">
        <v>60</v>
      </c>
      <c r="O153" s="127">
        <v>40</v>
      </c>
      <c r="P153" s="78">
        <f t="shared" ref="P153:P154" si="110">IF(G153="","",SUM(K153:O153))</f>
        <v>220</v>
      </c>
      <c r="Q153" s="78">
        <f t="shared" ref="Q153:Q154" si="111">IF(P153="","",Q152+P153)</f>
        <v>7040</v>
      </c>
      <c r="R153" s="74" t="s">
        <v>23</v>
      </c>
    </row>
    <row r="154" spans="1:18" ht="15.75" customHeight="1" x14ac:dyDescent="0.25">
      <c r="A154" s="47"/>
      <c r="B154" s="55"/>
      <c r="C154" s="9"/>
      <c r="D154" s="136"/>
      <c r="E154" s="56"/>
      <c r="F154" s="57"/>
      <c r="G154" s="126">
        <v>46190</v>
      </c>
      <c r="H154" s="127">
        <v>20</v>
      </c>
      <c r="I154" s="127"/>
      <c r="J154" s="127">
        <v>37</v>
      </c>
      <c r="K154" s="127">
        <v>40</v>
      </c>
      <c r="L154" s="127">
        <v>40</v>
      </c>
      <c r="M154" s="127">
        <v>40</v>
      </c>
      <c r="N154" s="127">
        <v>60</v>
      </c>
      <c r="O154" s="127">
        <v>40</v>
      </c>
      <c r="P154" s="78">
        <f t="shared" si="110"/>
        <v>220</v>
      </c>
      <c r="Q154" s="78">
        <f t="shared" si="111"/>
        <v>7260</v>
      </c>
      <c r="R154" s="74" t="s">
        <v>23</v>
      </c>
    </row>
    <row r="155" spans="1:18" ht="15.75" customHeight="1" x14ac:dyDescent="0.25">
      <c r="A155" s="47"/>
      <c r="B155" s="55"/>
      <c r="C155" s="9"/>
      <c r="D155" s="136"/>
      <c r="E155" s="56"/>
      <c r="F155" s="57"/>
      <c r="G155" s="126">
        <v>46190</v>
      </c>
      <c r="H155" s="127">
        <v>20</v>
      </c>
      <c r="I155" s="127"/>
      <c r="J155" s="127">
        <v>38</v>
      </c>
      <c r="K155" s="127">
        <v>40</v>
      </c>
      <c r="L155" s="127">
        <v>40</v>
      </c>
      <c r="M155" s="127">
        <v>40</v>
      </c>
      <c r="N155" s="127">
        <v>60</v>
      </c>
      <c r="O155" s="127">
        <v>40</v>
      </c>
      <c r="P155" s="78">
        <f t="shared" ref="P155:P159" si="112">IF(G155="","",SUM(K155:O155))</f>
        <v>220</v>
      </c>
      <c r="Q155" s="78">
        <f t="shared" ref="Q155:Q159" si="113">IF(P155="","",Q154+P155)</f>
        <v>7480</v>
      </c>
      <c r="R155" s="74" t="s">
        <v>23</v>
      </c>
    </row>
    <row r="156" spans="1:18" ht="15.75" customHeight="1" x14ac:dyDescent="0.25">
      <c r="A156" s="47"/>
      <c r="B156" s="55"/>
      <c r="C156" s="9"/>
      <c r="D156" s="136"/>
      <c r="E156" s="56"/>
      <c r="F156" s="57"/>
      <c r="G156" s="126">
        <v>46190</v>
      </c>
      <c r="H156" s="127">
        <v>20</v>
      </c>
      <c r="I156" s="127"/>
      <c r="J156" s="127">
        <v>39</v>
      </c>
      <c r="K156" s="127">
        <v>40</v>
      </c>
      <c r="L156" s="127">
        <v>40</v>
      </c>
      <c r="M156" s="127">
        <v>40</v>
      </c>
      <c r="N156" s="127">
        <v>60</v>
      </c>
      <c r="O156" s="127">
        <v>40</v>
      </c>
      <c r="P156" s="78">
        <f t="shared" si="112"/>
        <v>220</v>
      </c>
      <c r="Q156" s="78">
        <f t="shared" si="113"/>
        <v>7700</v>
      </c>
      <c r="R156" s="74" t="s">
        <v>23</v>
      </c>
    </row>
    <row r="157" spans="1:18" ht="15.75" customHeight="1" x14ac:dyDescent="0.25">
      <c r="A157" s="47"/>
      <c r="B157" s="55"/>
      <c r="C157" s="9"/>
      <c r="D157" s="136"/>
      <c r="E157" s="56"/>
      <c r="F157" s="57"/>
      <c r="G157" s="126">
        <v>46190</v>
      </c>
      <c r="H157" s="127">
        <v>20</v>
      </c>
      <c r="I157" s="127"/>
      <c r="J157" s="127">
        <v>40</v>
      </c>
      <c r="K157" s="127">
        <v>40</v>
      </c>
      <c r="L157" s="127">
        <v>40</v>
      </c>
      <c r="M157" s="127">
        <v>40</v>
      </c>
      <c r="N157" s="127">
        <v>60</v>
      </c>
      <c r="O157" s="127">
        <v>40</v>
      </c>
      <c r="P157" s="78">
        <f t="shared" si="112"/>
        <v>220</v>
      </c>
      <c r="Q157" s="78">
        <f t="shared" si="113"/>
        <v>7920</v>
      </c>
      <c r="R157" s="74" t="s">
        <v>23</v>
      </c>
    </row>
    <row r="158" spans="1:18" ht="15.75" customHeight="1" x14ac:dyDescent="0.25">
      <c r="A158" s="47"/>
      <c r="B158" s="55"/>
      <c r="C158" s="9"/>
      <c r="D158" s="136"/>
      <c r="E158" s="56"/>
      <c r="F158" s="57"/>
      <c r="G158" s="126">
        <v>46190</v>
      </c>
      <c r="H158" s="127">
        <v>20</v>
      </c>
      <c r="I158" s="127"/>
      <c r="J158" s="127">
        <v>41</v>
      </c>
      <c r="K158" s="127">
        <v>40</v>
      </c>
      <c r="L158" s="127">
        <v>40</v>
      </c>
      <c r="M158" s="127">
        <v>40</v>
      </c>
      <c r="N158" s="127">
        <v>60</v>
      </c>
      <c r="O158" s="127">
        <v>40</v>
      </c>
      <c r="P158" s="78">
        <f t="shared" si="112"/>
        <v>220</v>
      </c>
      <c r="Q158" s="78">
        <f t="shared" si="113"/>
        <v>8140</v>
      </c>
      <c r="R158" s="74" t="s">
        <v>23</v>
      </c>
    </row>
    <row r="159" spans="1:18" ht="15.75" customHeight="1" x14ac:dyDescent="0.25">
      <c r="A159" s="47"/>
      <c r="B159" s="55"/>
      <c r="C159" s="9"/>
      <c r="D159" s="136"/>
      <c r="E159" s="56"/>
      <c r="F159" s="57"/>
      <c r="G159" s="126">
        <v>46190</v>
      </c>
      <c r="H159" s="127">
        <v>20</v>
      </c>
      <c r="I159" s="127"/>
      <c r="J159" s="127">
        <v>42</v>
      </c>
      <c r="K159" s="127">
        <v>40</v>
      </c>
      <c r="L159" s="127">
        <v>40</v>
      </c>
      <c r="M159" s="127">
        <v>40</v>
      </c>
      <c r="N159" s="127">
        <v>60</v>
      </c>
      <c r="O159" s="127">
        <v>40</v>
      </c>
      <c r="P159" s="78">
        <f t="shared" si="112"/>
        <v>220</v>
      </c>
      <c r="Q159" s="78">
        <f t="shared" si="113"/>
        <v>8360</v>
      </c>
      <c r="R159" s="74" t="s">
        <v>23</v>
      </c>
    </row>
    <row r="160" spans="1:18" ht="15.75" customHeight="1" x14ac:dyDescent="0.25">
      <c r="A160" s="47"/>
      <c r="B160" s="55"/>
      <c r="C160" s="9"/>
      <c r="D160" s="136"/>
      <c r="E160" s="56"/>
      <c r="F160" s="57"/>
      <c r="G160" s="126">
        <v>46190</v>
      </c>
      <c r="H160" s="127">
        <v>20</v>
      </c>
      <c r="I160" s="127"/>
      <c r="J160" s="127">
        <v>43</v>
      </c>
      <c r="K160" s="127">
        <v>40</v>
      </c>
      <c r="L160" s="127">
        <v>40</v>
      </c>
      <c r="M160" s="127">
        <v>40</v>
      </c>
      <c r="N160" s="127">
        <v>60</v>
      </c>
      <c r="O160" s="127">
        <v>40</v>
      </c>
      <c r="P160" s="78">
        <f t="shared" ref="P160:P161" si="114">IF(G160="","",SUM(K160:O160))</f>
        <v>220</v>
      </c>
      <c r="Q160" s="78">
        <f t="shared" ref="Q160:Q161" si="115">IF(P160="","",Q159+P160)</f>
        <v>8580</v>
      </c>
      <c r="R160" s="74" t="s">
        <v>23</v>
      </c>
    </row>
    <row r="161" spans="1:18" ht="15.75" customHeight="1" x14ac:dyDescent="0.25">
      <c r="A161" s="47"/>
      <c r="B161" s="55"/>
      <c r="C161" s="9"/>
      <c r="D161" s="136"/>
      <c r="E161" s="56"/>
      <c r="F161" s="57"/>
      <c r="G161" s="126">
        <v>46190</v>
      </c>
      <c r="H161" s="127">
        <v>20</v>
      </c>
      <c r="I161" s="127"/>
      <c r="J161" s="127">
        <v>44</v>
      </c>
      <c r="K161" s="127">
        <v>40</v>
      </c>
      <c r="L161" s="127">
        <v>40</v>
      </c>
      <c r="M161" s="127">
        <v>40</v>
      </c>
      <c r="N161" s="127">
        <v>60</v>
      </c>
      <c r="O161" s="127">
        <v>40</v>
      </c>
      <c r="P161" s="78">
        <f t="shared" si="114"/>
        <v>220</v>
      </c>
      <c r="Q161" s="78">
        <f t="shared" si="115"/>
        <v>8800</v>
      </c>
      <c r="R161" s="74" t="s">
        <v>23</v>
      </c>
    </row>
    <row r="162" spans="1:18" ht="15.75" customHeight="1" x14ac:dyDescent="0.25">
      <c r="A162" s="47"/>
      <c r="B162" s="55"/>
      <c r="C162" s="9"/>
      <c r="D162" s="136"/>
      <c r="E162" s="56"/>
      <c r="F162" s="57"/>
      <c r="G162" s="126">
        <v>46191</v>
      </c>
      <c r="H162" s="127">
        <v>20</v>
      </c>
      <c r="I162" s="127"/>
      <c r="J162" s="127">
        <v>45</v>
      </c>
      <c r="K162" s="127">
        <v>40</v>
      </c>
      <c r="L162" s="127">
        <v>40</v>
      </c>
      <c r="M162" s="127">
        <v>40</v>
      </c>
      <c r="N162" s="127">
        <v>60</v>
      </c>
      <c r="O162" s="127">
        <v>40</v>
      </c>
      <c r="P162" s="78">
        <f t="shared" ref="P162:P166" si="116">IF(G162="","",SUM(K162:O162))</f>
        <v>220</v>
      </c>
      <c r="Q162" s="78">
        <f t="shared" ref="Q162:Q166" si="117">IF(P162="","",Q161+P162)</f>
        <v>9020</v>
      </c>
      <c r="R162" s="74" t="s">
        <v>23</v>
      </c>
    </row>
    <row r="163" spans="1:18" ht="15.75" customHeight="1" x14ac:dyDescent="0.25">
      <c r="A163" s="47"/>
      <c r="B163" s="55"/>
      <c r="C163" s="9"/>
      <c r="D163" s="136"/>
      <c r="E163" s="56"/>
      <c r="F163" s="57"/>
      <c r="G163" s="126">
        <v>46191</v>
      </c>
      <c r="H163" s="127">
        <v>20</v>
      </c>
      <c r="I163" s="127"/>
      <c r="J163" s="127">
        <v>46</v>
      </c>
      <c r="K163" s="127">
        <v>40</v>
      </c>
      <c r="L163" s="127">
        <v>40</v>
      </c>
      <c r="M163" s="127">
        <v>40</v>
      </c>
      <c r="N163" s="127">
        <v>60</v>
      </c>
      <c r="O163" s="127">
        <v>40</v>
      </c>
      <c r="P163" s="78">
        <f t="shared" si="116"/>
        <v>220</v>
      </c>
      <c r="Q163" s="78">
        <f t="shared" si="117"/>
        <v>9240</v>
      </c>
      <c r="R163" s="74" t="s">
        <v>23</v>
      </c>
    </row>
    <row r="164" spans="1:18" ht="15.75" customHeight="1" x14ac:dyDescent="0.25">
      <c r="A164" s="47"/>
      <c r="B164" s="55"/>
      <c r="C164" s="9"/>
      <c r="D164" s="136"/>
      <c r="E164" s="56"/>
      <c r="F164" s="57"/>
      <c r="G164" s="126">
        <v>46191</v>
      </c>
      <c r="H164" s="127">
        <v>20</v>
      </c>
      <c r="I164" s="127"/>
      <c r="J164" s="127">
        <v>47</v>
      </c>
      <c r="K164" s="127">
        <v>40</v>
      </c>
      <c r="L164" s="127">
        <v>40</v>
      </c>
      <c r="M164" s="127">
        <v>40</v>
      </c>
      <c r="N164" s="127">
        <v>60</v>
      </c>
      <c r="O164" s="127">
        <v>40</v>
      </c>
      <c r="P164" s="78">
        <f t="shared" si="116"/>
        <v>220</v>
      </c>
      <c r="Q164" s="78">
        <f t="shared" si="117"/>
        <v>9460</v>
      </c>
      <c r="R164" s="74" t="s">
        <v>23</v>
      </c>
    </row>
    <row r="165" spans="1:18" ht="15.75" customHeight="1" x14ac:dyDescent="0.25">
      <c r="A165" s="47"/>
      <c r="B165" s="55"/>
      <c r="C165" s="9"/>
      <c r="D165" s="136"/>
      <c r="E165" s="56"/>
      <c r="F165" s="57"/>
      <c r="G165" s="126">
        <v>46191</v>
      </c>
      <c r="H165" s="127">
        <v>20</v>
      </c>
      <c r="I165" s="127"/>
      <c r="J165" s="127">
        <v>48</v>
      </c>
      <c r="K165" s="127">
        <v>40</v>
      </c>
      <c r="L165" s="127">
        <v>40</v>
      </c>
      <c r="M165" s="127">
        <v>40</v>
      </c>
      <c r="N165" s="127">
        <v>60</v>
      </c>
      <c r="O165" s="127">
        <v>40</v>
      </c>
      <c r="P165" s="78">
        <f t="shared" si="116"/>
        <v>220</v>
      </c>
      <c r="Q165" s="78">
        <f t="shared" si="117"/>
        <v>9680</v>
      </c>
      <c r="R165" s="74" t="s">
        <v>23</v>
      </c>
    </row>
    <row r="166" spans="1:18" ht="15.75" customHeight="1" x14ac:dyDescent="0.25">
      <c r="A166" s="47"/>
      <c r="B166" s="55"/>
      <c r="C166" s="9"/>
      <c r="D166" s="136"/>
      <c r="E166" s="56"/>
      <c r="F166" s="57"/>
      <c r="G166" s="126">
        <v>46191</v>
      </c>
      <c r="H166" s="127">
        <v>20</v>
      </c>
      <c r="I166" s="127"/>
      <c r="J166" s="127">
        <v>49</v>
      </c>
      <c r="K166" s="127">
        <v>40</v>
      </c>
      <c r="L166" s="127">
        <v>40</v>
      </c>
      <c r="M166" s="127">
        <v>40</v>
      </c>
      <c r="N166" s="127">
        <v>60</v>
      </c>
      <c r="O166" s="127">
        <v>40</v>
      </c>
      <c r="P166" s="78">
        <f t="shared" si="116"/>
        <v>220</v>
      </c>
      <c r="Q166" s="78">
        <f t="shared" si="117"/>
        <v>9900</v>
      </c>
      <c r="R166" s="74" t="s">
        <v>23</v>
      </c>
    </row>
    <row r="167" spans="1:18" ht="15.75" customHeight="1" x14ac:dyDescent="0.25">
      <c r="A167" s="47"/>
      <c r="B167" s="55"/>
      <c r="C167" s="9"/>
      <c r="D167" s="136"/>
      <c r="E167" s="56"/>
      <c r="F167" s="57"/>
      <c r="G167" s="126">
        <v>46191</v>
      </c>
      <c r="H167" s="127">
        <v>20</v>
      </c>
      <c r="I167" s="127"/>
      <c r="J167" s="127">
        <v>50</v>
      </c>
      <c r="K167" s="127">
        <v>40</v>
      </c>
      <c r="L167" s="127">
        <v>40</v>
      </c>
      <c r="M167" s="127">
        <v>40</v>
      </c>
      <c r="N167" s="127">
        <v>60</v>
      </c>
      <c r="O167" s="127">
        <v>40</v>
      </c>
      <c r="P167" s="78">
        <f t="shared" ref="P167:P169" si="118">IF(G167="","",SUM(K167:O167))</f>
        <v>220</v>
      </c>
      <c r="Q167" s="78">
        <f t="shared" ref="Q167:Q169" si="119">IF(P167="","",Q166+P167)</f>
        <v>10120</v>
      </c>
      <c r="R167" s="74" t="s">
        <v>23</v>
      </c>
    </row>
    <row r="168" spans="1:18" ht="15.75" customHeight="1" x14ac:dyDescent="0.25">
      <c r="A168" s="47"/>
      <c r="B168" s="55"/>
      <c r="C168" s="9"/>
      <c r="D168" s="136"/>
      <c r="E168" s="56"/>
      <c r="F168" s="57"/>
      <c r="G168" s="126">
        <v>46191</v>
      </c>
      <c r="H168" s="127">
        <v>20</v>
      </c>
      <c r="I168" s="127"/>
      <c r="J168" s="127">
        <v>51</v>
      </c>
      <c r="K168" s="127">
        <v>40</v>
      </c>
      <c r="L168" s="127">
        <v>40</v>
      </c>
      <c r="M168" s="127">
        <v>40</v>
      </c>
      <c r="N168" s="127">
        <v>60</v>
      </c>
      <c r="O168" s="127">
        <v>40</v>
      </c>
      <c r="P168" s="78">
        <f t="shared" si="118"/>
        <v>220</v>
      </c>
      <c r="Q168" s="78">
        <f t="shared" si="119"/>
        <v>10340</v>
      </c>
      <c r="R168" s="74" t="s">
        <v>23</v>
      </c>
    </row>
    <row r="169" spans="1:18" ht="15.75" customHeight="1" x14ac:dyDescent="0.25">
      <c r="A169" s="47"/>
      <c r="B169" s="55"/>
      <c r="C169" s="9"/>
      <c r="D169" s="136"/>
      <c r="E169" s="56"/>
      <c r="F169" s="57"/>
      <c r="G169" s="126">
        <v>46191</v>
      </c>
      <c r="H169" s="127">
        <v>20</v>
      </c>
      <c r="I169" s="127"/>
      <c r="J169" s="127">
        <v>52</v>
      </c>
      <c r="K169" s="127">
        <v>40</v>
      </c>
      <c r="L169" s="127">
        <v>40</v>
      </c>
      <c r="M169" s="127">
        <v>40</v>
      </c>
      <c r="N169" s="127">
        <v>60</v>
      </c>
      <c r="O169" s="127">
        <v>40</v>
      </c>
      <c r="P169" s="78">
        <f t="shared" si="118"/>
        <v>220</v>
      </c>
      <c r="Q169" s="78">
        <f t="shared" si="119"/>
        <v>10560</v>
      </c>
      <c r="R169" s="74" t="s">
        <v>23</v>
      </c>
    </row>
    <row r="170" spans="1:18" ht="15.75" customHeight="1" x14ac:dyDescent="0.25">
      <c r="A170" s="47"/>
      <c r="B170" s="55"/>
      <c r="C170" s="9"/>
      <c r="D170" s="136"/>
      <c r="E170" s="56"/>
      <c r="F170" s="57"/>
      <c r="G170" s="162">
        <v>46191</v>
      </c>
      <c r="H170" s="125">
        <v>22</v>
      </c>
      <c r="I170" s="125"/>
      <c r="J170" s="125">
        <v>53</v>
      </c>
      <c r="K170" s="125">
        <v>44</v>
      </c>
      <c r="L170" s="125">
        <v>44</v>
      </c>
      <c r="M170" s="125">
        <v>44</v>
      </c>
      <c r="N170" s="125">
        <v>66</v>
      </c>
      <c r="O170" s="125">
        <v>44</v>
      </c>
      <c r="P170" s="120">
        <f t="shared" ref="P170:P171" si="120">IF(G170="","",SUM(K170:O170))</f>
        <v>242</v>
      </c>
      <c r="Q170" s="120">
        <f t="shared" ref="Q170:Q171" si="121">IF(P170="","",Q169+P170)</f>
        <v>10802</v>
      </c>
      <c r="R170" s="121" t="s">
        <v>23</v>
      </c>
    </row>
    <row r="171" spans="1:18" ht="15.75" customHeight="1" x14ac:dyDescent="0.25">
      <c r="A171" s="47"/>
      <c r="B171" s="55"/>
      <c r="C171" s="9"/>
      <c r="D171" s="136"/>
      <c r="E171" s="56"/>
      <c r="F171" s="57"/>
      <c r="G171" s="126">
        <v>46191</v>
      </c>
      <c r="H171" s="127">
        <v>20</v>
      </c>
      <c r="I171" s="127"/>
      <c r="J171" s="127">
        <v>54</v>
      </c>
      <c r="K171" s="127">
        <v>40</v>
      </c>
      <c r="L171" s="127">
        <v>40</v>
      </c>
      <c r="M171" s="127">
        <v>40</v>
      </c>
      <c r="N171" s="127">
        <v>60</v>
      </c>
      <c r="O171" s="127">
        <v>40</v>
      </c>
      <c r="P171" s="78">
        <f t="shared" si="120"/>
        <v>220</v>
      </c>
      <c r="Q171" s="78">
        <f t="shared" si="121"/>
        <v>11022</v>
      </c>
      <c r="R171" s="74" t="s">
        <v>23</v>
      </c>
    </row>
    <row r="172" spans="1:18" ht="15.75" customHeight="1" x14ac:dyDescent="0.25">
      <c r="A172" s="47"/>
      <c r="B172" s="55"/>
      <c r="C172" s="9"/>
      <c r="D172" s="136"/>
      <c r="E172" s="56"/>
      <c r="F172" s="57"/>
      <c r="G172" s="126">
        <v>46191</v>
      </c>
      <c r="H172" s="127">
        <v>20</v>
      </c>
      <c r="I172" s="127"/>
      <c r="J172" s="127">
        <v>55</v>
      </c>
      <c r="K172" s="127">
        <v>40</v>
      </c>
      <c r="L172" s="127">
        <v>40</v>
      </c>
      <c r="M172" s="127">
        <v>40</v>
      </c>
      <c r="N172" s="127">
        <v>60</v>
      </c>
      <c r="O172" s="127">
        <v>40</v>
      </c>
      <c r="P172" s="78">
        <f t="shared" ref="P172:P173" si="122">IF(G172="","",SUM(K172:O172))</f>
        <v>220</v>
      </c>
      <c r="Q172" s="78">
        <f t="shared" ref="Q172:Q173" si="123">IF(P172="","",Q171+P172)</f>
        <v>11242</v>
      </c>
      <c r="R172" s="74" t="s">
        <v>23</v>
      </c>
    </row>
    <row r="173" spans="1:18" ht="15.75" customHeight="1" x14ac:dyDescent="0.2">
      <c r="A173" s="47"/>
      <c r="B173" s="55"/>
      <c r="C173" s="9"/>
      <c r="D173" s="161"/>
      <c r="E173" s="56"/>
      <c r="F173" s="57"/>
      <c r="G173" s="126">
        <v>46193</v>
      </c>
      <c r="H173" s="127">
        <v>20</v>
      </c>
      <c r="I173" s="127"/>
      <c r="J173" s="127">
        <v>56</v>
      </c>
      <c r="K173" s="127">
        <v>40</v>
      </c>
      <c r="L173" s="127">
        <v>40</v>
      </c>
      <c r="M173" s="127">
        <v>40</v>
      </c>
      <c r="N173" s="127">
        <v>60</v>
      </c>
      <c r="O173" s="127">
        <v>40</v>
      </c>
      <c r="P173" s="78">
        <f t="shared" si="122"/>
        <v>220</v>
      </c>
      <c r="Q173" s="78">
        <f t="shared" si="123"/>
        <v>11462</v>
      </c>
      <c r="R173" s="74" t="s">
        <v>23</v>
      </c>
    </row>
    <row r="174" spans="1:18" ht="15.75" customHeight="1" x14ac:dyDescent="0.25">
      <c r="A174" s="47"/>
      <c r="B174" s="55"/>
      <c r="C174" s="9"/>
      <c r="D174" s="136"/>
      <c r="E174" s="56"/>
      <c r="F174" s="57"/>
      <c r="G174" s="126">
        <v>46193</v>
      </c>
      <c r="H174" s="127">
        <v>20</v>
      </c>
      <c r="I174" s="127"/>
      <c r="J174" s="127">
        <v>57</v>
      </c>
      <c r="K174" s="127">
        <v>40</v>
      </c>
      <c r="L174" s="127">
        <v>40</v>
      </c>
      <c r="M174" s="127">
        <v>40</v>
      </c>
      <c r="N174" s="127">
        <v>60</v>
      </c>
      <c r="O174" s="127">
        <v>40</v>
      </c>
      <c r="P174" s="78">
        <f t="shared" ref="P174:P175" si="124">IF(G174="","",SUM(K174:O174))</f>
        <v>220</v>
      </c>
      <c r="Q174" s="78">
        <f t="shared" ref="Q174:Q175" si="125">IF(P174="","",Q173+P174)</f>
        <v>11682</v>
      </c>
      <c r="R174" s="74" t="s">
        <v>23</v>
      </c>
    </row>
    <row r="175" spans="1:18" ht="15.75" customHeight="1" x14ac:dyDescent="0.25">
      <c r="A175" s="47"/>
      <c r="B175" s="55"/>
      <c r="C175" s="9"/>
      <c r="D175" s="136"/>
      <c r="E175" s="56"/>
      <c r="F175" s="57"/>
      <c r="G175" s="126">
        <v>46193</v>
      </c>
      <c r="H175" s="127">
        <v>20</v>
      </c>
      <c r="I175" s="127"/>
      <c r="J175" s="127">
        <v>58</v>
      </c>
      <c r="K175" s="127">
        <v>40</v>
      </c>
      <c r="L175" s="127">
        <v>40</v>
      </c>
      <c r="M175" s="127">
        <v>40</v>
      </c>
      <c r="N175" s="127">
        <v>60</v>
      </c>
      <c r="O175" s="127">
        <v>40</v>
      </c>
      <c r="P175" s="78">
        <f t="shared" si="124"/>
        <v>220</v>
      </c>
      <c r="Q175" s="78">
        <f t="shared" si="125"/>
        <v>11902</v>
      </c>
      <c r="R175" s="74" t="s">
        <v>23</v>
      </c>
    </row>
    <row r="176" spans="1:18" ht="15.75" customHeight="1" x14ac:dyDescent="0.25">
      <c r="A176" s="47"/>
      <c r="B176" s="55"/>
      <c r="C176" s="9"/>
      <c r="D176" s="136"/>
      <c r="E176" s="56"/>
      <c r="F176" s="57"/>
      <c r="G176" s="126">
        <v>46193</v>
      </c>
      <c r="H176" s="127">
        <v>20</v>
      </c>
      <c r="I176" s="127"/>
      <c r="J176" s="127">
        <v>59</v>
      </c>
      <c r="K176" s="127">
        <v>40</v>
      </c>
      <c r="L176" s="127">
        <v>40</v>
      </c>
      <c r="M176" s="127">
        <v>40</v>
      </c>
      <c r="N176" s="127">
        <v>60</v>
      </c>
      <c r="O176" s="127">
        <v>40</v>
      </c>
      <c r="P176" s="78">
        <f t="shared" ref="P176:P177" si="126">IF(G176="","",SUM(K176:O176))</f>
        <v>220</v>
      </c>
      <c r="Q176" s="78">
        <f t="shared" ref="Q176:Q177" si="127">IF(P176="","",Q175+P176)</f>
        <v>12122</v>
      </c>
      <c r="R176" s="74" t="s">
        <v>23</v>
      </c>
    </row>
    <row r="177" spans="1:18" ht="15.75" customHeight="1" x14ac:dyDescent="0.25">
      <c r="A177" s="47"/>
      <c r="B177" s="55"/>
      <c r="C177" s="9"/>
      <c r="D177" s="136"/>
      <c r="E177" s="56"/>
      <c r="F177" s="57"/>
      <c r="G177" s="126">
        <v>46193</v>
      </c>
      <c r="H177" s="127">
        <v>20</v>
      </c>
      <c r="I177" s="127"/>
      <c r="J177" s="127">
        <v>60</v>
      </c>
      <c r="K177" s="127">
        <v>40</v>
      </c>
      <c r="L177" s="127">
        <v>40</v>
      </c>
      <c r="M177" s="127">
        <v>40</v>
      </c>
      <c r="N177" s="127">
        <v>60</v>
      </c>
      <c r="O177" s="127">
        <v>40</v>
      </c>
      <c r="P177" s="78">
        <f t="shared" si="126"/>
        <v>220</v>
      </c>
      <c r="Q177" s="78">
        <f t="shared" si="127"/>
        <v>12342</v>
      </c>
      <c r="R177" s="74" t="s">
        <v>23</v>
      </c>
    </row>
    <row r="178" spans="1:18" ht="15.75" customHeight="1" x14ac:dyDescent="0.25">
      <c r="A178" s="47"/>
      <c r="B178" s="55"/>
      <c r="C178" s="9"/>
      <c r="D178" s="136"/>
      <c r="E178" s="56"/>
      <c r="F178" s="57"/>
      <c r="G178" s="126">
        <v>46193</v>
      </c>
      <c r="H178" s="127">
        <v>20</v>
      </c>
      <c r="I178" s="127"/>
      <c r="J178" s="127">
        <v>61</v>
      </c>
      <c r="K178" s="127">
        <v>40</v>
      </c>
      <c r="L178" s="127">
        <v>40</v>
      </c>
      <c r="M178" s="127">
        <v>40</v>
      </c>
      <c r="N178" s="127">
        <v>60</v>
      </c>
      <c r="O178" s="127">
        <v>40</v>
      </c>
      <c r="P178" s="78">
        <f t="shared" ref="P178:P179" si="128">IF(G178="","",SUM(K178:O178))</f>
        <v>220</v>
      </c>
      <c r="Q178" s="78">
        <f t="shared" ref="Q178:Q179" si="129">IF(P178="","",Q177+P178)</f>
        <v>12562</v>
      </c>
      <c r="R178" s="74" t="s">
        <v>23</v>
      </c>
    </row>
    <row r="179" spans="1:18" ht="15.75" customHeight="1" x14ac:dyDescent="0.25">
      <c r="A179" s="47"/>
      <c r="B179" s="55"/>
      <c r="C179" s="9"/>
      <c r="D179" s="136"/>
      <c r="E179" s="56"/>
      <c r="F179" s="57"/>
      <c r="G179" s="126">
        <v>46193</v>
      </c>
      <c r="H179" s="127">
        <v>20</v>
      </c>
      <c r="I179" s="127"/>
      <c r="J179" s="127">
        <v>62</v>
      </c>
      <c r="K179" s="127">
        <v>40</v>
      </c>
      <c r="L179" s="127">
        <v>40</v>
      </c>
      <c r="M179" s="127">
        <v>40</v>
      </c>
      <c r="N179" s="127">
        <v>60</v>
      </c>
      <c r="O179" s="127">
        <v>40</v>
      </c>
      <c r="P179" s="78">
        <f t="shared" si="128"/>
        <v>220</v>
      </c>
      <c r="Q179" s="78">
        <f t="shared" si="129"/>
        <v>12782</v>
      </c>
      <c r="R179" s="74" t="s">
        <v>23</v>
      </c>
    </row>
    <row r="180" spans="1:18" ht="15.75" customHeight="1" x14ac:dyDescent="0.25">
      <c r="A180" s="47"/>
      <c r="B180" s="55"/>
      <c r="C180" s="9"/>
      <c r="D180" s="136"/>
      <c r="E180" s="56"/>
      <c r="F180" s="57"/>
      <c r="G180" s="126">
        <v>46193</v>
      </c>
      <c r="H180" s="127">
        <v>20</v>
      </c>
      <c r="I180" s="127"/>
      <c r="J180" s="127">
        <v>63</v>
      </c>
      <c r="K180" s="127">
        <v>40</v>
      </c>
      <c r="L180" s="127">
        <v>40</v>
      </c>
      <c r="M180" s="127">
        <v>40</v>
      </c>
      <c r="N180" s="127">
        <v>60</v>
      </c>
      <c r="O180" s="127">
        <v>40</v>
      </c>
      <c r="P180" s="78">
        <f t="shared" ref="P180:P181" si="130">IF(G180="","",SUM(K180:O180))</f>
        <v>220</v>
      </c>
      <c r="Q180" s="78">
        <f t="shared" ref="Q180:Q181" si="131">IF(P180="","",Q179+P180)</f>
        <v>13002</v>
      </c>
      <c r="R180" s="74" t="s">
        <v>23</v>
      </c>
    </row>
    <row r="181" spans="1:18" ht="15.75" customHeight="1" x14ac:dyDescent="0.25">
      <c r="A181" s="47"/>
      <c r="B181" s="55"/>
      <c r="C181" s="9"/>
      <c r="D181" s="136"/>
      <c r="E181" s="56"/>
      <c r="F181" s="57"/>
      <c r="G181" s="126">
        <v>46194</v>
      </c>
      <c r="H181" s="127">
        <v>20</v>
      </c>
      <c r="I181" s="127"/>
      <c r="J181" s="127">
        <v>64</v>
      </c>
      <c r="K181" s="127">
        <v>40</v>
      </c>
      <c r="L181" s="127">
        <v>40</v>
      </c>
      <c r="M181" s="127">
        <v>40</v>
      </c>
      <c r="N181" s="127">
        <v>60</v>
      </c>
      <c r="O181" s="127">
        <v>40</v>
      </c>
      <c r="P181" s="78">
        <f t="shared" si="130"/>
        <v>220</v>
      </c>
      <c r="Q181" s="78">
        <f t="shared" si="131"/>
        <v>13222</v>
      </c>
      <c r="R181" s="74" t="s">
        <v>23</v>
      </c>
    </row>
    <row r="182" spans="1:18" ht="15.75" customHeight="1" x14ac:dyDescent="0.25">
      <c r="A182" s="47"/>
      <c r="B182" s="55"/>
      <c r="C182" s="9"/>
      <c r="D182" s="136"/>
      <c r="E182" s="56"/>
      <c r="F182" s="57"/>
      <c r="G182" s="126">
        <v>46194</v>
      </c>
      <c r="H182" s="127">
        <v>20</v>
      </c>
      <c r="I182" s="127"/>
      <c r="J182" s="127">
        <v>65</v>
      </c>
      <c r="K182" s="127">
        <v>40</v>
      </c>
      <c r="L182" s="127">
        <v>40</v>
      </c>
      <c r="M182" s="127">
        <v>40</v>
      </c>
      <c r="N182" s="127">
        <v>60</v>
      </c>
      <c r="O182" s="127">
        <v>40</v>
      </c>
      <c r="P182" s="78">
        <f t="shared" ref="P182:P183" si="132">IF(G182="","",SUM(K182:O182))</f>
        <v>220</v>
      </c>
      <c r="Q182" s="78">
        <f t="shared" ref="Q182:Q183" si="133">IF(P182="","",Q181+P182)</f>
        <v>13442</v>
      </c>
      <c r="R182" s="74" t="s">
        <v>23</v>
      </c>
    </row>
    <row r="183" spans="1:18" ht="15.75" customHeight="1" x14ac:dyDescent="0.25">
      <c r="A183" s="47"/>
      <c r="B183" s="55"/>
      <c r="C183" s="9"/>
      <c r="D183" s="136"/>
      <c r="E183" s="56"/>
      <c r="F183" s="57"/>
      <c r="G183" s="126">
        <v>46194</v>
      </c>
      <c r="H183" s="127">
        <v>20</v>
      </c>
      <c r="I183" s="127"/>
      <c r="J183" s="127">
        <v>66</v>
      </c>
      <c r="K183" s="127">
        <v>40</v>
      </c>
      <c r="L183" s="127">
        <v>40</v>
      </c>
      <c r="M183" s="127">
        <v>40</v>
      </c>
      <c r="N183" s="127">
        <v>60</v>
      </c>
      <c r="O183" s="127">
        <v>40</v>
      </c>
      <c r="P183" s="78">
        <f t="shared" si="132"/>
        <v>220</v>
      </c>
      <c r="Q183" s="78">
        <f t="shared" si="133"/>
        <v>13662</v>
      </c>
      <c r="R183" s="74" t="s">
        <v>23</v>
      </c>
    </row>
    <row r="184" spans="1:18" ht="15.75" customHeight="1" x14ac:dyDescent="0.25">
      <c r="A184" s="47"/>
      <c r="B184" s="55"/>
      <c r="C184" s="9"/>
      <c r="D184" s="136"/>
      <c r="E184" s="56"/>
      <c r="F184" s="57"/>
      <c r="G184" s="126">
        <v>46194</v>
      </c>
      <c r="H184" s="127">
        <v>20</v>
      </c>
      <c r="I184" s="127"/>
      <c r="J184" s="127">
        <v>67</v>
      </c>
      <c r="K184" s="127">
        <v>40</v>
      </c>
      <c r="L184" s="127">
        <v>40</v>
      </c>
      <c r="M184" s="127">
        <v>40</v>
      </c>
      <c r="N184" s="127">
        <v>60</v>
      </c>
      <c r="O184" s="127">
        <v>40</v>
      </c>
      <c r="P184" s="78">
        <f t="shared" ref="P184:P185" si="134">IF(G184="","",SUM(K184:O184))</f>
        <v>220</v>
      </c>
      <c r="Q184" s="78">
        <f t="shared" ref="Q184:Q185" si="135">IF(P184="","",Q183+P184)</f>
        <v>13882</v>
      </c>
      <c r="R184" s="74" t="s">
        <v>23</v>
      </c>
    </row>
    <row r="185" spans="1:18" ht="15.75" customHeight="1" x14ac:dyDescent="0.25">
      <c r="A185" s="47"/>
      <c r="B185" s="55"/>
      <c r="C185" s="9"/>
      <c r="D185" s="136"/>
      <c r="E185" s="56"/>
      <c r="F185" s="57"/>
      <c r="G185" s="126">
        <v>46194</v>
      </c>
      <c r="H185" s="127">
        <v>20</v>
      </c>
      <c r="I185" s="127"/>
      <c r="J185" s="127">
        <v>68</v>
      </c>
      <c r="K185" s="127">
        <v>40</v>
      </c>
      <c r="L185" s="127">
        <v>40</v>
      </c>
      <c r="M185" s="127">
        <v>40</v>
      </c>
      <c r="N185" s="127">
        <v>60</v>
      </c>
      <c r="O185" s="127">
        <v>40</v>
      </c>
      <c r="P185" s="78">
        <f t="shared" si="134"/>
        <v>220</v>
      </c>
      <c r="Q185" s="78">
        <f t="shared" si="135"/>
        <v>14102</v>
      </c>
      <c r="R185" s="74" t="s">
        <v>23</v>
      </c>
    </row>
    <row r="186" spans="1:18" ht="15.75" customHeight="1" x14ac:dyDescent="0.25">
      <c r="A186" s="47"/>
      <c r="B186" s="55"/>
      <c r="C186" s="9"/>
      <c r="D186" s="136"/>
      <c r="E186" s="56"/>
      <c r="F186" s="57"/>
      <c r="G186" s="126">
        <v>46194</v>
      </c>
      <c r="H186" s="127">
        <v>20</v>
      </c>
      <c r="I186" s="127"/>
      <c r="J186" s="127">
        <v>69</v>
      </c>
      <c r="K186" s="127">
        <v>40</v>
      </c>
      <c r="L186" s="127">
        <v>40</v>
      </c>
      <c r="M186" s="127">
        <v>40</v>
      </c>
      <c r="N186" s="127">
        <v>60</v>
      </c>
      <c r="O186" s="127">
        <v>40</v>
      </c>
      <c r="P186" s="78">
        <f t="shared" ref="P186:P188" si="136">IF(G186="","",SUM(K186:O186))</f>
        <v>220</v>
      </c>
      <c r="Q186" s="78">
        <f t="shared" ref="Q186:Q188" si="137">IF(P186="","",Q185+P186)</f>
        <v>14322</v>
      </c>
      <c r="R186" s="74" t="s">
        <v>23</v>
      </c>
    </row>
    <row r="187" spans="1:18" ht="15.75" customHeight="1" x14ac:dyDescent="0.25">
      <c r="A187" s="47"/>
      <c r="B187" s="55"/>
      <c r="C187" s="9"/>
      <c r="D187" s="136"/>
      <c r="E187" s="56"/>
      <c r="F187" s="57"/>
      <c r="G187" s="126">
        <v>46195</v>
      </c>
      <c r="H187" s="127">
        <v>17</v>
      </c>
      <c r="I187" s="127"/>
      <c r="J187" s="127">
        <v>71</v>
      </c>
      <c r="K187" s="127">
        <v>34</v>
      </c>
      <c r="L187" s="127">
        <f>17*2</f>
        <v>34</v>
      </c>
      <c r="M187" s="127">
        <f t="shared" ref="M187:O187" si="138">17*2</f>
        <v>34</v>
      </c>
      <c r="N187" s="127">
        <f>17*3</f>
        <v>51</v>
      </c>
      <c r="O187" s="127">
        <f t="shared" si="138"/>
        <v>34</v>
      </c>
      <c r="P187" s="78">
        <f t="shared" si="136"/>
        <v>187</v>
      </c>
      <c r="Q187" s="78">
        <f t="shared" si="137"/>
        <v>14509</v>
      </c>
      <c r="R187" s="74" t="s">
        <v>23</v>
      </c>
    </row>
    <row r="188" spans="1:18" ht="15.75" customHeight="1" thickBot="1" x14ac:dyDescent="0.3">
      <c r="A188" s="47"/>
      <c r="B188" s="55"/>
      <c r="C188" s="9"/>
      <c r="D188" s="136"/>
      <c r="E188" s="56"/>
      <c r="F188" s="57"/>
      <c r="G188" s="126"/>
      <c r="H188" s="127"/>
      <c r="I188" s="127"/>
      <c r="J188" s="127"/>
      <c r="K188" s="127"/>
      <c r="L188" s="127"/>
      <c r="M188" s="127"/>
      <c r="N188" s="127"/>
      <c r="O188" s="127"/>
      <c r="P188" s="78" t="str">
        <f t="shared" si="136"/>
        <v/>
      </c>
      <c r="Q188" s="78" t="str">
        <f t="shared" si="137"/>
        <v/>
      </c>
      <c r="R188" s="74"/>
    </row>
    <row r="189" spans="1:18" ht="19.5" customHeight="1" thickBot="1" x14ac:dyDescent="0.3">
      <c r="A189" s="48"/>
      <c r="B189" s="58"/>
      <c r="C189" s="58"/>
      <c r="D189" s="138"/>
      <c r="E189" s="59"/>
      <c r="F189" s="58"/>
      <c r="G189" s="19"/>
      <c r="H189" s="20"/>
      <c r="I189" s="21"/>
      <c r="J189" s="22" t="s">
        <v>11</v>
      </c>
      <c r="K189" s="38">
        <f>SUM(K122:K188)</f>
        <v>2638</v>
      </c>
      <c r="L189" s="38">
        <f>SUM(L122:L188)</f>
        <v>2638</v>
      </c>
      <c r="M189" s="38">
        <f>SUM(M122:M188)</f>
        <v>2638</v>
      </c>
      <c r="N189" s="38">
        <f>SUM(N122:N188)</f>
        <v>3957</v>
      </c>
      <c r="O189" s="38">
        <f>SUM(O122:O188)</f>
        <v>2638</v>
      </c>
      <c r="P189" s="38">
        <f>SUM(K189:O189)</f>
        <v>14509</v>
      </c>
      <c r="Q189" s="23"/>
      <c r="R189" s="82"/>
    </row>
    <row r="190" spans="1:18" ht="18.75" customHeight="1" thickBot="1" x14ac:dyDescent="0.3">
      <c r="A190" s="49"/>
      <c r="B190" s="60"/>
      <c r="C190" s="60"/>
      <c r="D190" s="139"/>
      <c r="E190" s="60"/>
      <c r="F190" s="60"/>
      <c r="G190" s="24"/>
      <c r="H190" s="24"/>
      <c r="I190" s="25"/>
      <c r="J190" s="26" t="s">
        <v>12</v>
      </c>
      <c r="K190" s="39">
        <f>IF(K120="","",K189-K120)</f>
        <v>26</v>
      </c>
      <c r="L190" s="39">
        <f>IF(L120="","",L189-L120)</f>
        <v>26</v>
      </c>
      <c r="M190" s="39">
        <f>IF(M120="","",M189-M120)</f>
        <v>26</v>
      </c>
      <c r="N190" s="39">
        <f>IF(N120="","",N189-N120)</f>
        <v>39</v>
      </c>
      <c r="O190" s="39">
        <f>IF(O120="","",O189-O120)</f>
        <v>26</v>
      </c>
      <c r="P190" s="39">
        <f>SUM(K190:O190)</f>
        <v>143</v>
      </c>
      <c r="Q190" s="27"/>
      <c r="R190" s="83"/>
    </row>
    <row r="191" spans="1:18" ht="18.75" customHeight="1" x14ac:dyDescent="0.25">
      <c r="A191" s="43"/>
      <c r="E191" s="43"/>
      <c r="I191"/>
      <c r="J191" s="130"/>
      <c r="K191" s="131"/>
      <c r="L191" s="131"/>
      <c r="M191" s="131"/>
      <c r="N191" s="131"/>
      <c r="O191" s="131"/>
      <c r="P191" s="131"/>
      <c r="Q191" s="29"/>
    </row>
    <row r="192" spans="1:18" s="1" customFormat="1" ht="18.75" customHeight="1" thickBot="1" x14ac:dyDescent="0.35">
      <c r="A192" s="46"/>
      <c r="B192" s="41"/>
      <c r="C192" s="41"/>
      <c r="D192" s="133"/>
      <c r="E192" s="41"/>
      <c r="F192" s="41"/>
      <c r="I192" s="90" t="s">
        <v>26</v>
      </c>
      <c r="K192" s="30"/>
      <c r="L192" s="30"/>
      <c r="M192" s="30"/>
      <c r="N192" s="30"/>
      <c r="O192" s="30"/>
      <c r="P192" s="30"/>
      <c r="Q192" s="30"/>
      <c r="R192" s="81"/>
    </row>
    <row r="193" spans="1:18" s="2" customFormat="1" ht="27" customHeight="1" thickBot="1" x14ac:dyDescent="0.25">
      <c r="A193" s="91"/>
      <c r="B193" s="51"/>
      <c r="C193" s="51"/>
      <c r="D193" s="134"/>
      <c r="E193" s="52"/>
      <c r="F193" s="53"/>
      <c r="G193" s="15"/>
      <c r="H193" s="15"/>
      <c r="I193" s="15"/>
      <c r="J193" s="16" t="s">
        <v>16</v>
      </c>
      <c r="K193" s="17">
        <v>2612</v>
      </c>
      <c r="L193" s="17">
        <v>2612</v>
      </c>
      <c r="M193" s="17">
        <v>2612</v>
      </c>
      <c r="N193" s="17">
        <v>3918</v>
      </c>
      <c r="O193" s="17">
        <v>2612</v>
      </c>
      <c r="P193" s="18">
        <f>SUM(K193:O193)</f>
        <v>14366</v>
      </c>
      <c r="Q193" s="37"/>
      <c r="R193" s="76">
        <v>46215</v>
      </c>
    </row>
    <row r="194" spans="1:18" s="13" customFormat="1" ht="30.75" customHeight="1" thickBot="1" x14ac:dyDescent="0.2">
      <c r="A194" s="44" t="s">
        <v>17</v>
      </c>
      <c r="B194" s="50" t="s">
        <v>13</v>
      </c>
      <c r="C194" s="50" t="s">
        <v>14</v>
      </c>
      <c r="D194" s="135" t="s">
        <v>9</v>
      </c>
      <c r="E194" s="50" t="s">
        <v>22</v>
      </c>
      <c r="F194" s="50" t="s">
        <v>8</v>
      </c>
      <c r="G194" s="10" t="s">
        <v>7</v>
      </c>
      <c r="H194" s="10" t="s">
        <v>5</v>
      </c>
      <c r="I194" s="10" t="s">
        <v>6</v>
      </c>
      <c r="J194" s="11" t="s">
        <v>4</v>
      </c>
      <c r="K194" s="14" t="s">
        <v>28</v>
      </c>
      <c r="L194" s="14" t="s">
        <v>29</v>
      </c>
      <c r="M194" s="14" t="s">
        <v>1</v>
      </c>
      <c r="N194" s="14" t="s">
        <v>24</v>
      </c>
      <c r="O194" s="14" t="s">
        <v>25</v>
      </c>
      <c r="P194" s="12" t="s">
        <v>10</v>
      </c>
      <c r="Q194" s="12" t="s">
        <v>3</v>
      </c>
      <c r="R194" s="85" t="s">
        <v>0</v>
      </c>
    </row>
    <row r="195" spans="1:18" s="3" customFormat="1" ht="15.95" customHeight="1" x14ac:dyDescent="0.2">
      <c r="A195" s="86" t="s">
        <v>32</v>
      </c>
      <c r="B195" s="87" t="s">
        <v>31</v>
      </c>
      <c r="C195" s="87">
        <v>14225</v>
      </c>
      <c r="D195" s="87" t="s">
        <v>34</v>
      </c>
      <c r="E195" s="88">
        <f>P193</f>
        <v>14366</v>
      </c>
      <c r="F195" s="89"/>
      <c r="G195" s="4">
        <v>46195</v>
      </c>
      <c r="H195" s="5">
        <v>20</v>
      </c>
      <c r="I195" s="5"/>
      <c r="J195" s="5">
        <v>70</v>
      </c>
      <c r="K195" s="5">
        <f>20*2</f>
        <v>40</v>
      </c>
      <c r="L195" s="5">
        <f t="shared" ref="L195:O212" si="139">20*2</f>
        <v>40</v>
      </c>
      <c r="M195" s="5">
        <f t="shared" si="139"/>
        <v>40</v>
      </c>
      <c r="N195" s="5">
        <f>20*3</f>
        <v>60</v>
      </c>
      <c r="O195" s="5">
        <f t="shared" si="139"/>
        <v>40</v>
      </c>
      <c r="P195" s="6">
        <f t="shared" ref="P195:P198" si="140">IF(G195="","",SUM(K195:O195))</f>
        <v>220</v>
      </c>
      <c r="Q195" s="7">
        <f>IF(P195="","",P195)</f>
        <v>220</v>
      </c>
      <c r="R195" s="79" t="s">
        <v>23</v>
      </c>
    </row>
    <row r="196" spans="1:18" ht="15.95" customHeight="1" x14ac:dyDescent="0.25">
      <c r="A196" s="47" t="s">
        <v>37</v>
      </c>
      <c r="B196" s="55"/>
      <c r="C196" s="9"/>
      <c r="D196" s="136" t="s">
        <v>43</v>
      </c>
      <c r="E196" s="56"/>
      <c r="F196" s="57"/>
      <c r="G196" s="4">
        <v>46195</v>
      </c>
      <c r="H196" s="5">
        <v>20</v>
      </c>
      <c r="I196" s="5"/>
      <c r="J196" s="5">
        <v>72</v>
      </c>
      <c r="K196" s="5">
        <v>40</v>
      </c>
      <c r="L196" s="5">
        <v>40</v>
      </c>
      <c r="M196" s="5">
        <v>40</v>
      </c>
      <c r="N196" s="5">
        <v>60</v>
      </c>
      <c r="O196" s="5">
        <v>40</v>
      </c>
      <c r="P196" s="6">
        <f t="shared" si="140"/>
        <v>220</v>
      </c>
      <c r="Q196" s="6">
        <f>IF(P196="","",Q195+P196)</f>
        <v>440</v>
      </c>
      <c r="R196" s="42" t="s">
        <v>23</v>
      </c>
    </row>
    <row r="197" spans="1:18" ht="15.95" customHeight="1" x14ac:dyDescent="0.25">
      <c r="A197" s="47"/>
      <c r="B197" s="55"/>
      <c r="C197" s="9"/>
      <c r="D197" s="137"/>
      <c r="E197" s="56"/>
      <c r="F197" s="57"/>
      <c r="G197" s="4">
        <v>46195</v>
      </c>
      <c r="H197" s="5">
        <v>20</v>
      </c>
      <c r="I197" s="5"/>
      <c r="J197" s="5">
        <v>73</v>
      </c>
      <c r="K197" s="5">
        <f>20*2</f>
        <v>40</v>
      </c>
      <c r="L197" s="5">
        <f t="shared" si="139"/>
        <v>40</v>
      </c>
      <c r="M197" s="5">
        <f t="shared" si="139"/>
        <v>40</v>
      </c>
      <c r="N197" s="5">
        <f>20*3</f>
        <v>60</v>
      </c>
      <c r="O197" s="5">
        <f t="shared" si="139"/>
        <v>40</v>
      </c>
      <c r="P197" s="6">
        <f t="shared" si="140"/>
        <v>220</v>
      </c>
      <c r="Q197" s="6">
        <f t="shared" ref="Q197" si="141">IF(P197="","",Q196+P197)</f>
        <v>660</v>
      </c>
      <c r="R197" s="42" t="s">
        <v>23</v>
      </c>
    </row>
    <row r="198" spans="1:18" ht="15.95" customHeight="1" x14ac:dyDescent="0.25">
      <c r="A198" s="47"/>
      <c r="B198" s="55"/>
      <c r="C198" s="9"/>
      <c r="D198" s="136"/>
      <c r="E198" s="56"/>
      <c r="F198" s="57"/>
      <c r="G198" s="4">
        <v>46195</v>
      </c>
      <c r="H198" s="5">
        <v>20</v>
      </c>
      <c r="I198" s="5"/>
      <c r="J198" s="5">
        <v>74</v>
      </c>
      <c r="K198" s="5">
        <v>40</v>
      </c>
      <c r="L198" s="5">
        <v>40</v>
      </c>
      <c r="M198" s="5">
        <v>40</v>
      </c>
      <c r="N198" s="5">
        <v>60</v>
      </c>
      <c r="O198" s="5">
        <v>40</v>
      </c>
      <c r="P198" s="6">
        <f t="shared" si="140"/>
        <v>220</v>
      </c>
      <c r="Q198" s="6">
        <f>IF(P198="","",Q197+P198)</f>
        <v>880</v>
      </c>
      <c r="R198" s="42" t="s">
        <v>23</v>
      </c>
    </row>
    <row r="199" spans="1:18" ht="15.95" customHeight="1" x14ac:dyDescent="0.25">
      <c r="A199" s="47"/>
      <c r="B199" s="55"/>
      <c r="C199" s="9"/>
      <c r="D199" s="136"/>
      <c r="E199" s="56"/>
      <c r="F199" s="57"/>
      <c r="G199" s="4">
        <v>46195</v>
      </c>
      <c r="H199" s="5">
        <v>20</v>
      </c>
      <c r="I199" s="5"/>
      <c r="J199" s="5">
        <v>75</v>
      </c>
      <c r="K199" s="5">
        <f>20*2</f>
        <v>40</v>
      </c>
      <c r="L199" s="5">
        <f t="shared" si="139"/>
        <v>40</v>
      </c>
      <c r="M199" s="5">
        <f t="shared" si="139"/>
        <v>40</v>
      </c>
      <c r="N199" s="5">
        <f>20*3</f>
        <v>60</v>
      </c>
      <c r="O199" s="5">
        <f t="shared" si="139"/>
        <v>40</v>
      </c>
      <c r="P199" s="6">
        <f t="shared" ref="P199:P200" si="142">IF(G199="","",SUM(K199:O199))</f>
        <v>220</v>
      </c>
      <c r="Q199" s="6">
        <f t="shared" ref="Q199" si="143">IF(P199="","",Q198+P199)</f>
        <v>1100</v>
      </c>
      <c r="R199" s="42" t="s">
        <v>23</v>
      </c>
    </row>
    <row r="200" spans="1:18" ht="15.95" customHeight="1" x14ac:dyDescent="0.25">
      <c r="A200" s="47"/>
      <c r="B200" s="55"/>
      <c r="C200" s="9"/>
      <c r="D200" s="136"/>
      <c r="E200" s="56"/>
      <c r="F200" s="57"/>
      <c r="G200" s="4">
        <v>46195</v>
      </c>
      <c r="H200" s="5">
        <v>20</v>
      </c>
      <c r="I200" s="5"/>
      <c r="J200" s="5">
        <v>76</v>
      </c>
      <c r="K200" s="5">
        <v>40</v>
      </c>
      <c r="L200" s="5">
        <v>40</v>
      </c>
      <c r="M200" s="5">
        <v>40</v>
      </c>
      <c r="N200" s="5">
        <v>60</v>
      </c>
      <c r="O200" s="5">
        <v>40</v>
      </c>
      <c r="P200" s="6">
        <f t="shared" si="142"/>
        <v>220</v>
      </c>
      <c r="Q200" s="6">
        <f>IF(P200="","",Q199+P200)</f>
        <v>1320</v>
      </c>
      <c r="R200" s="42" t="s">
        <v>23</v>
      </c>
    </row>
    <row r="201" spans="1:18" ht="15.95" customHeight="1" x14ac:dyDescent="0.25">
      <c r="A201" s="47"/>
      <c r="B201" s="55"/>
      <c r="C201" s="9"/>
      <c r="D201" s="136"/>
      <c r="E201" s="56"/>
      <c r="F201" s="57"/>
      <c r="G201" s="4">
        <v>46195</v>
      </c>
      <c r="H201" s="5">
        <v>20</v>
      </c>
      <c r="I201" s="5"/>
      <c r="J201" s="5">
        <v>77</v>
      </c>
      <c r="K201" s="5">
        <f>20*2</f>
        <v>40</v>
      </c>
      <c r="L201" s="5">
        <f t="shared" si="139"/>
        <v>40</v>
      </c>
      <c r="M201" s="5">
        <f t="shared" si="139"/>
        <v>40</v>
      </c>
      <c r="N201" s="5">
        <f>20*3</f>
        <v>60</v>
      </c>
      <c r="O201" s="5">
        <f t="shared" si="139"/>
        <v>40</v>
      </c>
      <c r="P201" s="6">
        <f t="shared" ref="P201:P202" si="144">IF(G201="","",SUM(K201:O201))</f>
        <v>220</v>
      </c>
      <c r="Q201" s="6">
        <f t="shared" ref="Q201" si="145">IF(P201="","",Q200+P201)</f>
        <v>1540</v>
      </c>
      <c r="R201" s="42" t="s">
        <v>23</v>
      </c>
    </row>
    <row r="202" spans="1:18" ht="15.95" customHeight="1" x14ac:dyDescent="0.25">
      <c r="A202" s="47"/>
      <c r="B202" s="55"/>
      <c r="C202" s="9"/>
      <c r="D202" s="136"/>
      <c r="E202" s="56"/>
      <c r="F202" s="57"/>
      <c r="G202" s="4">
        <v>46195</v>
      </c>
      <c r="H202" s="5">
        <v>20</v>
      </c>
      <c r="I202" s="5"/>
      <c r="J202" s="5">
        <v>78</v>
      </c>
      <c r="K202" s="5">
        <v>40</v>
      </c>
      <c r="L202" s="5">
        <v>40</v>
      </c>
      <c r="M202" s="5">
        <v>40</v>
      </c>
      <c r="N202" s="5">
        <v>60</v>
      </c>
      <c r="O202" s="5">
        <v>40</v>
      </c>
      <c r="P202" s="6">
        <f t="shared" si="144"/>
        <v>220</v>
      </c>
      <c r="Q202" s="6">
        <f>IF(P202="","",Q201+P202)</f>
        <v>1760</v>
      </c>
      <c r="R202" s="42" t="s">
        <v>23</v>
      </c>
    </row>
    <row r="203" spans="1:18" ht="15.95" customHeight="1" x14ac:dyDescent="0.25">
      <c r="A203" s="47"/>
      <c r="B203" s="55"/>
      <c r="C203" s="9"/>
      <c r="D203" s="136"/>
      <c r="E203" s="56"/>
      <c r="F203" s="57"/>
      <c r="G203" s="4">
        <v>46196</v>
      </c>
      <c r="H203" s="5">
        <v>20</v>
      </c>
      <c r="I203" s="5"/>
      <c r="J203" s="5">
        <v>79</v>
      </c>
      <c r="K203" s="5">
        <f>20*2</f>
        <v>40</v>
      </c>
      <c r="L203" s="5">
        <f t="shared" si="139"/>
        <v>40</v>
      </c>
      <c r="M203" s="5">
        <f t="shared" si="139"/>
        <v>40</v>
      </c>
      <c r="N203" s="5">
        <f>20*3</f>
        <v>60</v>
      </c>
      <c r="O203" s="5">
        <f t="shared" si="139"/>
        <v>40</v>
      </c>
      <c r="P203" s="6">
        <f t="shared" ref="P203:P204" si="146">IF(G203="","",SUM(K203:O203))</f>
        <v>220</v>
      </c>
      <c r="Q203" s="6">
        <f t="shared" ref="Q203" si="147">IF(P203="","",Q202+P203)</f>
        <v>1980</v>
      </c>
      <c r="R203" s="42" t="s">
        <v>23</v>
      </c>
    </row>
    <row r="204" spans="1:18" ht="15.95" customHeight="1" x14ac:dyDescent="0.25">
      <c r="A204" s="47"/>
      <c r="B204" s="55"/>
      <c r="C204" s="9"/>
      <c r="D204" s="136"/>
      <c r="E204" s="56"/>
      <c r="F204" s="57"/>
      <c r="G204" s="4">
        <v>46196</v>
      </c>
      <c r="H204" s="5">
        <v>20</v>
      </c>
      <c r="I204" s="5"/>
      <c r="J204" s="125">
        <v>80</v>
      </c>
      <c r="K204" s="5">
        <v>40</v>
      </c>
      <c r="L204" s="5">
        <v>40</v>
      </c>
      <c r="M204" s="5">
        <v>40</v>
      </c>
      <c r="N204" s="5">
        <v>60</v>
      </c>
      <c r="O204" s="5">
        <v>40</v>
      </c>
      <c r="P204" s="6">
        <f t="shared" si="146"/>
        <v>220</v>
      </c>
      <c r="Q204" s="6">
        <f>IF(P204="","",Q203+P204)</f>
        <v>2200</v>
      </c>
      <c r="R204" s="42" t="s">
        <v>23</v>
      </c>
    </row>
    <row r="205" spans="1:18" ht="15.95" customHeight="1" x14ac:dyDescent="0.25">
      <c r="A205" s="47"/>
      <c r="B205" s="55"/>
      <c r="C205" s="9"/>
      <c r="D205" s="136"/>
      <c r="E205" s="56"/>
      <c r="F205" s="57"/>
      <c r="G205" s="4">
        <v>46196</v>
      </c>
      <c r="H205" s="5">
        <v>20</v>
      </c>
      <c r="I205" s="5"/>
      <c r="J205" s="5">
        <v>81</v>
      </c>
      <c r="K205" s="5">
        <f>20*2</f>
        <v>40</v>
      </c>
      <c r="L205" s="5">
        <f t="shared" si="139"/>
        <v>40</v>
      </c>
      <c r="M205" s="5">
        <f t="shared" si="139"/>
        <v>40</v>
      </c>
      <c r="N205" s="5">
        <f>20*3</f>
        <v>60</v>
      </c>
      <c r="O205" s="5">
        <f t="shared" si="139"/>
        <v>40</v>
      </c>
      <c r="P205" s="6">
        <f t="shared" ref="P205" si="148">IF(G205="","",SUM(K205:O205))</f>
        <v>220</v>
      </c>
      <c r="Q205" s="6">
        <f t="shared" ref="Q205" si="149">IF(P205="","",Q204+P205)</f>
        <v>2420</v>
      </c>
      <c r="R205" s="42" t="s">
        <v>23</v>
      </c>
    </row>
    <row r="206" spans="1:18" ht="15.95" customHeight="1" x14ac:dyDescent="0.25">
      <c r="A206" s="47"/>
      <c r="B206" s="55"/>
      <c r="C206" s="9"/>
      <c r="D206" s="136"/>
      <c r="E206" s="56"/>
      <c r="F206" s="57"/>
      <c r="G206" s="4">
        <v>46196</v>
      </c>
      <c r="H206" s="5">
        <v>14</v>
      </c>
      <c r="I206" s="5"/>
      <c r="J206" s="5">
        <v>82</v>
      </c>
      <c r="K206" s="5">
        <v>28</v>
      </c>
      <c r="L206" s="5">
        <v>28</v>
      </c>
      <c r="M206" s="5">
        <v>28</v>
      </c>
      <c r="N206" s="5">
        <v>42</v>
      </c>
      <c r="O206" s="5">
        <v>28</v>
      </c>
      <c r="P206" s="6">
        <f>IF(G206="","",SUM(K206:O206))</f>
        <v>154</v>
      </c>
      <c r="Q206" s="6">
        <f>IF(P206="","",Q205+P206)</f>
        <v>2574</v>
      </c>
      <c r="R206" s="42" t="s">
        <v>23</v>
      </c>
    </row>
    <row r="207" spans="1:18" ht="15.95" customHeight="1" x14ac:dyDescent="0.25">
      <c r="A207" s="47"/>
      <c r="B207" s="55"/>
      <c r="C207" s="9"/>
      <c r="D207" s="136"/>
      <c r="E207" s="56"/>
      <c r="F207" s="57"/>
      <c r="G207" s="4">
        <v>46196</v>
      </c>
      <c r="H207" s="5">
        <v>20</v>
      </c>
      <c r="I207" s="5"/>
      <c r="J207" s="125">
        <v>83</v>
      </c>
      <c r="K207" s="125">
        <f>20*2</f>
        <v>40</v>
      </c>
      <c r="L207" s="125">
        <f t="shared" si="139"/>
        <v>40</v>
      </c>
      <c r="M207" s="125">
        <f t="shared" si="139"/>
        <v>40</v>
      </c>
      <c r="N207" s="125">
        <f>20*3</f>
        <v>60</v>
      </c>
      <c r="O207" s="125">
        <f t="shared" si="139"/>
        <v>40</v>
      </c>
      <c r="P207" s="120">
        <f t="shared" ref="P207" si="150">IF(G207="","",SUM(K207:O207))</f>
        <v>220</v>
      </c>
      <c r="Q207" s="6">
        <f t="shared" ref="Q207" si="151">IF(P207="","",Q206+P207)</f>
        <v>2794</v>
      </c>
      <c r="R207" s="42" t="s">
        <v>23</v>
      </c>
    </row>
    <row r="208" spans="1:18" ht="15.95" customHeight="1" x14ac:dyDescent="0.25">
      <c r="A208" s="47"/>
      <c r="B208" s="55"/>
      <c r="C208" s="9"/>
      <c r="D208" s="136"/>
      <c r="E208" s="56"/>
      <c r="F208" s="57"/>
      <c r="G208" s="126">
        <v>46196</v>
      </c>
      <c r="H208" s="127">
        <v>20</v>
      </c>
      <c r="I208" s="127"/>
      <c r="J208" s="127">
        <v>83</v>
      </c>
      <c r="K208" s="127">
        <f t="shared" ref="K208:O224" si="152">20*2</f>
        <v>40</v>
      </c>
      <c r="L208" s="127">
        <f t="shared" si="139"/>
        <v>40</v>
      </c>
      <c r="M208" s="127">
        <f t="shared" si="139"/>
        <v>40</v>
      </c>
      <c r="N208" s="127">
        <f t="shared" ref="N208:N247" si="153">20*3</f>
        <v>60</v>
      </c>
      <c r="O208" s="127">
        <f t="shared" si="139"/>
        <v>40</v>
      </c>
      <c r="P208" s="78">
        <f t="shared" ref="P208:P210" si="154">IF(G208="","",SUM(K208:O208))</f>
        <v>220</v>
      </c>
      <c r="Q208" s="78">
        <f t="shared" ref="Q208:Q210" si="155">IF(P208="","",Q207+P208)</f>
        <v>3014</v>
      </c>
      <c r="R208" s="74" t="s">
        <v>23</v>
      </c>
    </row>
    <row r="209" spans="1:18" ht="15.95" customHeight="1" x14ac:dyDescent="0.25">
      <c r="A209" s="47"/>
      <c r="B209" s="55"/>
      <c r="C209" s="9"/>
      <c r="D209" s="136"/>
      <c r="E209" s="56"/>
      <c r="F209" s="57"/>
      <c r="G209" s="126">
        <v>46197</v>
      </c>
      <c r="H209" s="127">
        <v>20</v>
      </c>
      <c r="I209" s="127"/>
      <c r="J209" s="127">
        <v>84</v>
      </c>
      <c r="K209" s="127">
        <f t="shared" si="152"/>
        <v>40</v>
      </c>
      <c r="L209" s="127">
        <f t="shared" si="139"/>
        <v>40</v>
      </c>
      <c r="M209" s="127">
        <f t="shared" si="139"/>
        <v>40</v>
      </c>
      <c r="N209" s="127">
        <f t="shared" si="153"/>
        <v>60</v>
      </c>
      <c r="O209" s="127">
        <f t="shared" si="139"/>
        <v>40</v>
      </c>
      <c r="P209" s="78">
        <f t="shared" si="154"/>
        <v>220</v>
      </c>
      <c r="Q209" s="78">
        <f t="shared" si="155"/>
        <v>3234</v>
      </c>
      <c r="R209" s="74" t="s">
        <v>23</v>
      </c>
    </row>
    <row r="210" spans="1:18" ht="15.95" customHeight="1" x14ac:dyDescent="0.25">
      <c r="A210" s="47"/>
      <c r="B210" s="55"/>
      <c r="C210" s="9"/>
      <c r="D210" s="136"/>
      <c r="E210" s="56"/>
      <c r="F210" s="57"/>
      <c r="G210" s="126">
        <v>46197</v>
      </c>
      <c r="H210" s="127">
        <v>20</v>
      </c>
      <c r="I210" s="127"/>
      <c r="J210" s="127">
        <v>85</v>
      </c>
      <c r="K210" s="127">
        <f t="shared" si="152"/>
        <v>40</v>
      </c>
      <c r="L210" s="127">
        <f t="shared" si="139"/>
        <v>40</v>
      </c>
      <c r="M210" s="127">
        <f t="shared" si="139"/>
        <v>40</v>
      </c>
      <c r="N210" s="127">
        <f t="shared" si="153"/>
        <v>60</v>
      </c>
      <c r="O210" s="127">
        <f t="shared" si="139"/>
        <v>40</v>
      </c>
      <c r="P210" s="78">
        <f t="shared" si="154"/>
        <v>220</v>
      </c>
      <c r="Q210" s="78">
        <f t="shared" si="155"/>
        <v>3454</v>
      </c>
      <c r="R210" s="74" t="s">
        <v>23</v>
      </c>
    </row>
    <row r="211" spans="1:18" ht="15.95" customHeight="1" x14ac:dyDescent="0.25">
      <c r="A211" s="47"/>
      <c r="B211" s="55"/>
      <c r="C211" s="9"/>
      <c r="D211" s="136"/>
      <c r="E211" s="56"/>
      <c r="F211" s="57"/>
      <c r="G211" s="126">
        <v>46197</v>
      </c>
      <c r="H211" s="127">
        <v>20</v>
      </c>
      <c r="I211" s="127"/>
      <c r="J211" s="127">
        <v>86</v>
      </c>
      <c r="K211" s="127">
        <f t="shared" si="152"/>
        <v>40</v>
      </c>
      <c r="L211" s="127">
        <f t="shared" si="139"/>
        <v>40</v>
      </c>
      <c r="M211" s="127">
        <f t="shared" si="139"/>
        <v>40</v>
      </c>
      <c r="N211" s="127">
        <f t="shared" si="153"/>
        <v>60</v>
      </c>
      <c r="O211" s="127">
        <f t="shared" si="139"/>
        <v>40</v>
      </c>
      <c r="P211" s="78">
        <f t="shared" ref="P211:P212" si="156">IF(G211="","",SUM(K211:O211))</f>
        <v>220</v>
      </c>
      <c r="Q211" s="78">
        <f t="shared" ref="Q211:Q212" si="157">IF(P211="","",Q210+P211)</f>
        <v>3674</v>
      </c>
      <c r="R211" s="74" t="s">
        <v>23</v>
      </c>
    </row>
    <row r="212" spans="1:18" ht="15.95" customHeight="1" x14ac:dyDescent="0.25">
      <c r="A212" s="47"/>
      <c r="B212" s="55"/>
      <c r="C212" s="9"/>
      <c r="D212" s="136"/>
      <c r="E212" s="56"/>
      <c r="F212" s="57"/>
      <c r="G212" s="126">
        <v>46197</v>
      </c>
      <c r="H212" s="127">
        <v>20</v>
      </c>
      <c r="I212" s="127"/>
      <c r="J212" s="127">
        <v>87</v>
      </c>
      <c r="K212" s="127">
        <f t="shared" si="152"/>
        <v>40</v>
      </c>
      <c r="L212" s="127">
        <f t="shared" si="139"/>
        <v>40</v>
      </c>
      <c r="M212" s="127">
        <f t="shared" si="139"/>
        <v>40</v>
      </c>
      <c r="N212" s="127">
        <f t="shared" si="153"/>
        <v>60</v>
      </c>
      <c r="O212" s="127">
        <f t="shared" si="139"/>
        <v>40</v>
      </c>
      <c r="P212" s="78">
        <f t="shared" si="156"/>
        <v>220</v>
      </c>
      <c r="Q212" s="78">
        <f t="shared" si="157"/>
        <v>3894</v>
      </c>
      <c r="R212" s="74" t="s">
        <v>23</v>
      </c>
    </row>
    <row r="213" spans="1:18" ht="15.95" customHeight="1" x14ac:dyDescent="0.25">
      <c r="A213" s="47"/>
      <c r="B213" s="55"/>
      <c r="C213" s="9"/>
      <c r="D213" s="136"/>
      <c r="E213" s="56"/>
      <c r="F213" s="57"/>
      <c r="G213" s="126">
        <v>46197</v>
      </c>
      <c r="H213" s="127">
        <v>20</v>
      </c>
      <c r="I213" s="127"/>
      <c r="J213" s="127">
        <v>88</v>
      </c>
      <c r="K213" s="127">
        <f t="shared" si="152"/>
        <v>40</v>
      </c>
      <c r="L213" s="127">
        <f t="shared" si="152"/>
        <v>40</v>
      </c>
      <c r="M213" s="127">
        <f t="shared" si="152"/>
        <v>40</v>
      </c>
      <c r="N213" s="127">
        <f t="shared" si="153"/>
        <v>60</v>
      </c>
      <c r="O213" s="127">
        <f t="shared" si="152"/>
        <v>40</v>
      </c>
      <c r="P213" s="78">
        <f t="shared" ref="P213:P214" si="158">IF(G213="","",SUM(K213:O213))</f>
        <v>220</v>
      </c>
      <c r="Q213" s="78">
        <f t="shared" ref="Q213:Q214" si="159">IF(P213="","",Q212+P213)</f>
        <v>4114</v>
      </c>
      <c r="R213" s="74" t="s">
        <v>23</v>
      </c>
    </row>
    <row r="214" spans="1:18" ht="15.95" customHeight="1" x14ac:dyDescent="0.25">
      <c r="A214" s="47"/>
      <c r="B214" s="55"/>
      <c r="C214" s="9"/>
      <c r="D214" s="136"/>
      <c r="E214" s="56"/>
      <c r="F214" s="57"/>
      <c r="G214" s="126">
        <v>46197</v>
      </c>
      <c r="H214" s="127">
        <v>20</v>
      </c>
      <c r="I214" s="127"/>
      <c r="J214" s="127">
        <v>89</v>
      </c>
      <c r="K214" s="127">
        <f t="shared" si="152"/>
        <v>40</v>
      </c>
      <c r="L214" s="127">
        <f t="shared" si="152"/>
        <v>40</v>
      </c>
      <c r="M214" s="127">
        <f t="shared" si="152"/>
        <v>40</v>
      </c>
      <c r="N214" s="127">
        <f t="shared" si="153"/>
        <v>60</v>
      </c>
      <c r="O214" s="127">
        <f t="shared" si="152"/>
        <v>40</v>
      </c>
      <c r="P214" s="78">
        <f t="shared" si="158"/>
        <v>220</v>
      </c>
      <c r="Q214" s="78">
        <f t="shared" si="159"/>
        <v>4334</v>
      </c>
      <c r="R214" s="74" t="s">
        <v>23</v>
      </c>
    </row>
    <row r="215" spans="1:18" ht="15.95" customHeight="1" x14ac:dyDescent="0.25">
      <c r="A215" s="47"/>
      <c r="B215" s="55"/>
      <c r="C215" s="9"/>
      <c r="D215" s="136"/>
      <c r="E215" s="56"/>
      <c r="F215" s="57"/>
      <c r="G215" s="126">
        <v>46198</v>
      </c>
      <c r="H215" s="127">
        <v>20</v>
      </c>
      <c r="I215" s="127"/>
      <c r="J215" s="127">
        <v>90</v>
      </c>
      <c r="K215" s="127">
        <f t="shared" si="152"/>
        <v>40</v>
      </c>
      <c r="L215" s="127">
        <f t="shared" si="152"/>
        <v>40</v>
      </c>
      <c r="M215" s="127">
        <f t="shared" si="152"/>
        <v>40</v>
      </c>
      <c r="N215" s="127">
        <f t="shared" si="153"/>
        <v>60</v>
      </c>
      <c r="O215" s="127">
        <f t="shared" si="152"/>
        <v>40</v>
      </c>
      <c r="P215" s="78">
        <f t="shared" ref="P215:P216" si="160">IF(G215="","",SUM(K215:O215))</f>
        <v>220</v>
      </c>
      <c r="Q215" s="78">
        <f t="shared" ref="Q215:Q216" si="161">IF(P215="","",Q214+P215)</f>
        <v>4554</v>
      </c>
      <c r="R215" s="74" t="s">
        <v>23</v>
      </c>
    </row>
    <row r="216" spans="1:18" ht="15.95" customHeight="1" x14ac:dyDescent="0.25">
      <c r="A216" s="47"/>
      <c r="B216" s="55"/>
      <c r="C216" s="9"/>
      <c r="D216" s="136"/>
      <c r="E216" s="56"/>
      <c r="F216" s="57"/>
      <c r="G216" s="126">
        <v>46198</v>
      </c>
      <c r="H216" s="127">
        <v>20</v>
      </c>
      <c r="I216" s="127"/>
      <c r="J216" s="127">
        <v>91</v>
      </c>
      <c r="K216" s="127">
        <f t="shared" si="152"/>
        <v>40</v>
      </c>
      <c r="L216" s="127">
        <f t="shared" si="152"/>
        <v>40</v>
      </c>
      <c r="M216" s="127">
        <f t="shared" si="152"/>
        <v>40</v>
      </c>
      <c r="N216" s="127">
        <f t="shared" si="153"/>
        <v>60</v>
      </c>
      <c r="O216" s="127">
        <f t="shared" si="152"/>
        <v>40</v>
      </c>
      <c r="P216" s="78">
        <f t="shared" si="160"/>
        <v>220</v>
      </c>
      <c r="Q216" s="78">
        <f t="shared" si="161"/>
        <v>4774</v>
      </c>
      <c r="R216" s="74" t="s">
        <v>23</v>
      </c>
    </row>
    <row r="217" spans="1:18" ht="15.95" customHeight="1" x14ac:dyDescent="0.25">
      <c r="A217" s="47"/>
      <c r="B217" s="55"/>
      <c r="C217" s="9"/>
      <c r="D217" s="136"/>
      <c r="E217" s="56"/>
      <c r="F217" s="57"/>
      <c r="G217" s="126">
        <v>46198</v>
      </c>
      <c r="H217" s="127">
        <v>20</v>
      </c>
      <c r="I217" s="127"/>
      <c r="J217" s="127">
        <v>92</v>
      </c>
      <c r="K217" s="127">
        <f t="shared" si="152"/>
        <v>40</v>
      </c>
      <c r="L217" s="127">
        <f t="shared" si="152"/>
        <v>40</v>
      </c>
      <c r="M217" s="127">
        <f t="shared" si="152"/>
        <v>40</v>
      </c>
      <c r="N217" s="127">
        <f t="shared" si="153"/>
        <v>60</v>
      </c>
      <c r="O217" s="127">
        <f t="shared" si="152"/>
        <v>40</v>
      </c>
      <c r="P217" s="78">
        <f t="shared" ref="P217:P221" si="162">IF(G217="","",SUM(K217:O217))</f>
        <v>220</v>
      </c>
      <c r="Q217" s="78">
        <f t="shared" ref="Q217:Q221" si="163">IF(P217="","",Q216+P217)</f>
        <v>4994</v>
      </c>
      <c r="R217" s="74" t="s">
        <v>23</v>
      </c>
    </row>
    <row r="218" spans="1:18" ht="15.95" customHeight="1" x14ac:dyDescent="0.25">
      <c r="A218" s="47"/>
      <c r="B218" s="55"/>
      <c r="C218" s="9"/>
      <c r="D218" s="136"/>
      <c r="E218" s="56"/>
      <c r="F218" s="57"/>
      <c r="G218" s="126">
        <v>46198</v>
      </c>
      <c r="H218" s="127">
        <v>20</v>
      </c>
      <c r="I218" s="127"/>
      <c r="J218" s="127">
        <v>93</v>
      </c>
      <c r="K218" s="127">
        <f t="shared" si="152"/>
        <v>40</v>
      </c>
      <c r="L218" s="127">
        <f t="shared" si="152"/>
        <v>40</v>
      </c>
      <c r="M218" s="127">
        <f t="shared" si="152"/>
        <v>40</v>
      </c>
      <c r="N218" s="127">
        <f t="shared" si="153"/>
        <v>60</v>
      </c>
      <c r="O218" s="127">
        <f t="shared" si="152"/>
        <v>40</v>
      </c>
      <c r="P218" s="78">
        <f t="shared" si="162"/>
        <v>220</v>
      </c>
      <c r="Q218" s="78">
        <f t="shared" si="163"/>
        <v>5214</v>
      </c>
      <c r="R218" s="74" t="s">
        <v>23</v>
      </c>
    </row>
    <row r="219" spans="1:18" ht="15.95" customHeight="1" x14ac:dyDescent="0.25">
      <c r="A219" s="47"/>
      <c r="B219" s="55"/>
      <c r="C219" s="9"/>
      <c r="D219" s="136"/>
      <c r="E219" s="56"/>
      <c r="F219" s="57"/>
      <c r="G219" s="126">
        <v>46198</v>
      </c>
      <c r="H219" s="127">
        <v>20</v>
      </c>
      <c r="I219" s="127"/>
      <c r="J219" s="127">
        <v>94</v>
      </c>
      <c r="K219" s="127">
        <f t="shared" si="152"/>
        <v>40</v>
      </c>
      <c r="L219" s="127">
        <f t="shared" si="152"/>
        <v>40</v>
      </c>
      <c r="M219" s="127">
        <f t="shared" si="152"/>
        <v>40</v>
      </c>
      <c r="N219" s="127">
        <f t="shared" si="153"/>
        <v>60</v>
      </c>
      <c r="O219" s="127">
        <f t="shared" si="152"/>
        <v>40</v>
      </c>
      <c r="P219" s="78">
        <f t="shared" si="162"/>
        <v>220</v>
      </c>
      <c r="Q219" s="78">
        <f t="shared" si="163"/>
        <v>5434</v>
      </c>
      <c r="R219" s="74" t="s">
        <v>23</v>
      </c>
    </row>
    <row r="220" spans="1:18" ht="15.95" customHeight="1" x14ac:dyDescent="0.25">
      <c r="A220" s="47"/>
      <c r="B220" s="55"/>
      <c r="C220" s="9"/>
      <c r="D220" s="136"/>
      <c r="E220" s="56"/>
      <c r="F220" s="57"/>
      <c r="G220" s="126">
        <v>46198</v>
      </c>
      <c r="H220" s="127">
        <v>20</v>
      </c>
      <c r="I220" s="127"/>
      <c r="J220" s="127">
        <v>95</v>
      </c>
      <c r="K220" s="127">
        <f t="shared" si="152"/>
        <v>40</v>
      </c>
      <c r="L220" s="127">
        <f t="shared" si="152"/>
        <v>40</v>
      </c>
      <c r="M220" s="127">
        <f t="shared" si="152"/>
        <v>40</v>
      </c>
      <c r="N220" s="127">
        <f t="shared" si="153"/>
        <v>60</v>
      </c>
      <c r="O220" s="127">
        <f t="shared" si="152"/>
        <v>40</v>
      </c>
      <c r="P220" s="78">
        <f t="shared" si="162"/>
        <v>220</v>
      </c>
      <c r="Q220" s="78">
        <f t="shared" si="163"/>
        <v>5654</v>
      </c>
      <c r="R220" s="74" t="s">
        <v>23</v>
      </c>
    </row>
    <row r="221" spans="1:18" ht="15.95" customHeight="1" x14ac:dyDescent="0.25">
      <c r="A221" s="47"/>
      <c r="B221" s="55"/>
      <c r="C221" s="9"/>
      <c r="D221" s="136"/>
      <c r="E221" s="56"/>
      <c r="F221" s="57"/>
      <c r="G221" s="126">
        <v>46198</v>
      </c>
      <c r="H221" s="127">
        <v>20</v>
      </c>
      <c r="I221" s="127"/>
      <c r="J221" s="127">
        <v>96</v>
      </c>
      <c r="K221" s="127">
        <f t="shared" si="152"/>
        <v>40</v>
      </c>
      <c r="L221" s="127">
        <f t="shared" si="152"/>
        <v>40</v>
      </c>
      <c r="M221" s="127">
        <f t="shared" si="152"/>
        <v>40</v>
      </c>
      <c r="N221" s="127">
        <f t="shared" si="153"/>
        <v>60</v>
      </c>
      <c r="O221" s="127">
        <f t="shared" si="152"/>
        <v>40</v>
      </c>
      <c r="P221" s="78">
        <f t="shared" si="162"/>
        <v>220</v>
      </c>
      <c r="Q221" s="78">
        <f t="shared" si="163"/>
        <v>5874</v>
      </c>
      <c r="R221" s="74" t="s">
        <v>23</v>
      </c>
    </row>
    <row r="222" spans="1:18" ht="15.95" customHeight="1" x14ac:dyDescent="0.25">
      <c r="A222" s="47"/>
      <c r="B222" s="55"/>
      <c r="C222" s="9"/>
      <c r="D222" s="136"/>
      <c r="E222" s="56"/>
      <c r="F222" s="57"/>
      <c r="G222" s="126">
        <v>46200</v>
      </c>
      <c r="H222" s="127">
        <v>20</v>
      </c>
      <c r="I222" s="127"/>
      <c r="J222" s="127">
        <v>97</v>
      </c>
      <c r="K222" s="127">
        <f t="shared" si="152"/>
        <v>40</v>
      </c>
      <c r="L222" s="127">
        <f t="shared" si="152"/>
        <v>40</v>
      </c>
      <c r="M222" s="127">
        <f t="shared" si="152"/>
        <v>40</v>
      </c>
      <c r="N222" s="127">
        <f t="shared" si="153"/>
        <v>60</v>
      </c>
      <c r="O222" s="127">
        <f t="shared" si="152"/>
        <v>40</v>
      </c>
      <c r="P222" s="78">
        <f t="shared" ref="P222" si="164">IF(G222="","",SUM(K222:O222))</f>
        <v>220</v>
      </c>
      <c r="Q222" s="78">
        <f t="shared" ref="Q222" si="165">IF(P222="","",Q221+P222)</f>
        <v>6094</v>
      </c>
      <c r="R222" s="74" t="s">
        <v>23</v>
      </c>
    </row>
    <row r="223" spans="1:18" ht="15.95" customHeight="1" x14ac:dyDescent="0.25">
      <c r="A223" s="47"/>
      <c r="B223" s="55"/>
      <c r="C223" s="9"/>
      <c r="D223" s="136"/>
      <c r="E223" s="56"/>
      <c r="F223" s="57"/>
      <c r="G223" s="126">
        <v>46200</v>
      </c>
      <c r="H223" s="127">
        <v>20</v>
      </c>
      <c r="I223" s="127"/>
      <c r="J223" s="127">
        <v>98</v>
      </c>
      <c r="K223" s="127">
        <f t="shared" si="152"/>
        <v>40</v>
      </c>
      <c r="L223" s="127">
        <f t="shared" si="152"/>
        <v>40</v>
      </c>
      <c r="M223" s="127">
        <f t="shared" si="152"/>
        <v>40</v>
      </c>
      <c r="N223" s="127">
        <f t="shared" si="153"/>
        <v>60</v>
      </c>
      <c r="O223" s="127">
        <f t="shared" si="152"/>
        <v>40</v>
      </c>
      <c r="P223" s="78">
        <f t="shared" ref="P223:P226" si="166">IF(G223="","",SUM(K223:O223))</f>
        <v>220</v>
      </c>
      <c r="Q223" s="78">
        <f t="shared" ref="Q223:Q226" si="167">IF(P223="","",Q222+P223)</f>
        <v>6314</v>
      </c>
      <c r="R223" s="74" t="s">
        <v>23</v>
      </c>
    </row>
    <row r="224" spans="1:18" ht="15.95" customHeight="1" x14ac:dyDescent="0.25">
      <c r="A224" s="47"/>
      <c r="B224" s="55"/>
      <c r="C224" s="9"/>
      <c r="D224" s="136"/>
      <c r="E224" s="56"/>
      <c r="F224" s="57"/>
      <c r="G224" s="126">
        <v>46200</v>
      </c>
      <c r="H224" s="127">
        <v>20</v>
      </c>
      <c r="I224" s="127"/>
      <c r="J224" s="127">
        <v>99</v>
      </c>
      <c r="K224" s="127">
        <f t="shared" si="152"/>
        <v>40</v>
      </c>
      <c r="L224" s="127">
        <f t="shared" si="152"/>
        <v>40</v>
      </c>
      <c r="M224" s="127">
        <f t="shared" si="152"/>
        <v>40</v>
      </c>
      <c r="N224" s="127">
        <f t="shared" si="153"/>
        <v>60</v>
      </c>
      <c r="O224" s="127">
        <f t="shared" si="152"/>
        <v>40</v>
      </c>
      <c r="P224" s="78">
        <f t="shared" si="166"/>
        <v>220</v>
      </c>
      <c r="Q224" s="78">
        <f t="shared" si="167"/>
        <v>6534</v>
      </c>
      <c r="R224" s="74" t="s">
        <v>23</v>
      </c>
    </row>
    <row r="225" spans="1:18" ht="15.95" customHeight="1" x14ac:dyDescent="0.25">
      <c r="A225" s="47"/>
      <c r="B225" s="55"/>
      <c r="C225" s="9"/>
      <c r="D225" s="136"/>
      <c r="E225" s="56"/>
      <c r="F225" s="57"/>
      <c r="G225" s="126">
        <v>46200</v>
      </c>
      <c r="H225" s="127">
        <v>20</v>
      </c>
      <c r="I225" s="127"/>
      <c r="J225" s="127">
        <v>1</v>
      </c>
      <c r="K225" s="127">
        <f t="shared" ref="K225:O247" si="168">20*2</f>
        <v>40</v>
      </c>
      <c r="L225" s="127">
        <f t="shared" si="168"/>
        <v>40</v>
      </c>
      <c r="M225" s="127">
        <f t="shared" si="168"/>
        <v>40</v>
      </c>
      <c r="N225" s="127">
        <f t="shared" si="153"/>
        <v>60</v>
      </c>
      <c r="O225" s="127">
        <f t="shared" si="168"/>
        <v>40</v>
      </c>
      <c r="P225" s="78">
        <f t="shared" si="166"/>
        <v>220</v>
      </c>
      <c r="Q225" s="78">
        <f t="shared" si="167"/>
        <v>6754</v>
      </c>
      <c r="R225" s="74" t="s">
        <v>23</v>
      </c>
    </row>
    <row r="226" spans="1:18" ht="15.95" customHeight="1" x14ac:dyDescent="0.25">
      <c r="A226" s="47"/>
      <c r="B226" s="55"/>
      <c r="C226" s="9"/>
      <c r="D226" s="136"/>
      <c r="E226" s="56"/>
      <c r="F226" s="57"/>
      <c r="G226" s="126">
        <v>46200</v>
      </c>
      <c r="H226" s="127">
        <v>20</v>
      </c>
      <c r="I226" s="127"/>
      <c r="J226" s="127">
        <v>2</v>
      </c>
      <c r="K226" s="127">
        <f t="shared" si="168"/>
        <v>40</v>
      </c>
      <c r="L226" s="127">
        <f t="shared" si="168"/>
        <v>40</v>
      </c>
      <c r="M226" s="127">
        <f t="shared" si="168"/>
        <v>40</v>
      </c>
      <c r="N226" s="127">
        <f t="shared" si="153"/>
        <v>60</v>
      </c>
      <c r="O226" s="127">
        <f t="shared" si="168"/>
        <v>40</v>
      </c>
      <c r="P226" s="78">
        <f t="shared" si="166"/>
        <v>220</v>
      </c>
      <c r="Q226" s="78">
        <f t="shared" si="167"/>
        <v>6974</v>
      </c>
      <c r="R226" s="74" t="s">
        <v>23</v>
      </c>
    </row>
    <row r="227" spans="1:18" ht="15.95" customHeight="1" x14ac:dyDescent="0.25">
      <c r="A227" s="47"/>
      <c r="B227" s="55"/>
      <c r="C227" s="9"/>
      <c r="D227" s="136"/>
      <c r="E227" s="56"/>
      <c r="F227" s="57"/>
      <c r="G227" s="126">
        <v>46200</v>
      </c>
      <c r="H227" s="127">
        <v>20</v>
      </c>
      <c r="I227" s="127"/>
      <c r="J227" s="127">
        <v>3</v>
      </c>
      <c r="K227" s="127">
        <f t="shared" si="168"/>
        <v>40</v>
      </c>
      <c r="L227" s="127">
        <f t="shared" si="168"/>
        <v>40</v>
      </c>
      <c r="M227" s="127">
        <f t="shared" si="168"/>
        <v>40</v>
      </c>
      <c r="N227" s="127">
        <f t="shared" si="153"/>
        <v>60</v>
      </c>
      <c r="O227" s="127">
        <f t="shared" si="168"/>
        <v>40</v>
      </c>
      <c r="P227" s="78">
        <f t="shared" ref="P227:P232" si="169">IF(G227="","",SUM(K227:O227))</f>
        <v>220</v>
      </c>
      <c r="Q227" s="78">
        <f t="shared" ref="Q227:Q232" si="170">IF(P227="","",Q226+P227)</f>
        <v>7194</v>
      </c>
      <c r="R227" s="74" t="s">
        <v>23</v>
      </c>
    </row>
    <row r="228" spans="1:18" ht="15.95" customHeight="1" x14ac:dyDescent="0.25">
      <c r="A228" s="47"/>
      <c r="B228" s="55"/>
      <c r="C228" s="9"/>
      <c r="D228" s="136"/>
      <c r="E228" s="56"/>
      <c r="F228" s="57"/>
      <c r="G228" s="126">
        <v>46200</v>
      </c>
      <c r="H228" s="127">
        <v>20</v>
      </c>
      <c r="I228" s="127"/>
      <c r="J228" s="127">
        <v>4</v>
      </c>
      <c r="K228" s="127">
        <f t="shared" si="168"/>
        <v>40</v>
      </c>
      <c r="L228" s="127">
        <f t="shared" si="168"/>
        <v>40</v>
      </c>
      <c r="M228" s="127">
        <f t="shared" si="168"/>
        <v>40</v>
      </c>
      <c r="N228" s="127">
        <f t="shared" si="153"/>
        <v>60</v>
      </c>
      <c r="O228" s="127">
        <f t="shared" si="168"/>
        <v>40</v>
      </c>
      <c r="P228" s="78">
        <f t="shared" si="169"/>
        <v>220</v>
      </c>
      <c r="Q228" s="78">
        <f t="shared" si="170"/>
        <v>7414</v>
      </c>
      <c r="R228" s="74" t="s">
        <v>23</v>
      </c>
    </row>
    <row r="229" spans="1:18" ht="15.95" customHeight="1" x14ac:dyDescent="0.25">
      <c r="A229" s="47"/>
      <c r="B229" s="55"/>
      <c r="C229" s="9"/>
      <c r="D229" s="136"/>
      <c r="E229" s="56"/>
      <c r="F229" s="57"/>
      <c r="G229" s="126">
        <v>46200</v>
      </c>
      <c r="H229" s="127">
        <v>20</v>
      </c>
      <c r="I229" s="127"/>
      <c r="J229" s="127">
        <v>5</v>
      </c>
      <c r="K229" s="127">
        <f t="shared" si="168"/>
        <v>40</v>
      </c>
      <c r="L229" s="127">
        <f t="shared" si="168"/>
        <v>40</v>
      </c>
      <c r="M229" s="127">
        <f t="shared" si="168"/>
        <v>40</v>
      </c>
      <c r="N229" s="127">
        <f t="shared" si="153"/>
        <v>60</v>
      </c>
      <c r="O229" s="127">
        <f t="shared" si="168"/>
        <v>40</v>
      </c>
      <c r="P229" s="78">
        <f t="shared" si="169"/>
        <v>220</v>
      </c>
      <c r="Q229" s="78">
        <f t="shared" si="170"/>
        <v>7634</v>
      </c>
      <c r="R229" s="74" t="s">
        <v>23</v>
      </c>
    </row>
    <row r="230" spans="1:18" ht="15.95" customHeight="1" x14ac:dyDescent="0.25">
      <c r="A230" s="47"/>
      <c r="B230" s="55"/>
      <c r="C230" s="9"/>
      <c r="D230" s="136"/>
      <c r="E230" s="56"/>
      <c r="F230" s="57"/>
      <c r="G230" s="126">
        <v>46200</v>
      </c>
      <c r="H230" s="127">
        <v>20</v>
      </c>
      <c r="I230" s="127"/>
      <c r="J230" s="127">
        <v>6</v>
      </c>
      <c r="K230" s="127">
        <f t="shared" si="168"/>
        <v>40</v>
      </c>
      <c r="L230" s="127">
        <f t="shared" si="168"/>
        <v>40</v>
      </c>
      <c r="M230" s="127">
        <f t="shared" si="168"/>
        <v>40</v>
      </c>
      <c r="N230" s="127">
        <f t="shared" si="153"/>
        <v>60</v>
      </c>
      <c r="O230" s="127">
        <f t="shared" si="168"/>
        <v>40</v>
      </c>
      <c r="P230" s="78">
        <f t="shared" si="169"/>
        <v>220</v>
      </c>
      <c r="Q230" s="78">
        <f t="shared" si="170"/>
        <v>7854</v>
      </c>
      <c r="R230" s="74" t="s">
        <v>23</v>
      </c>
    </row>
    <row r="231" spans="1:18" ht="15.95" customHeight="1" x14ac:dyDescent="0.25">
      <c r="A231" s="47"/>
      <c r="B231" s="55"/>
      <c r="C231" s="9"/>
      <c r="D231" s="136"/>
      <c r="E231" s="56"/>
      <c r="F231" s="57"/>
      <c r="G231" s="126">
        <v>46200</v>
      </c>
      <c r="H231" s="127">
        <v>20</v>
      </c>
      <c r="I231" s="127"/>
      <c r="J231" s="127">
        <v>7</v>
      </c>
      <c r="K231" s="127">
        <f t="shared" si="168"/>
        <v>40</v>
      </c>
      <c r="L231" s="127">
        <f t="shared" si="168"/>
        <v>40</v>
      </c>
      <c r="M231" s="127">
        <f t="shared" si="168"/>
        <v>40</v>
      </c>
      <c r="N231" s="127">
        <f t="shared" si="153"/>
        <v>60</v>
      </c>
      <c r="O231" s="127">
        <f t="shared" si="168"/>
        <v>40</v>
      </c>
      <c r="P231" s="78">
        <f t="shared" si="169"/>
        <v>220</v>
      </c>
      <c r="Q231" s="78">
        <f t="shared" si="170"/>
        <v>8074</v>
      </c>
      <c r="R231" s="74" t="s">
        <v>23</v>
      </c>
    </row>
    <row r="232" spans="1:18" ht="15.95" customHeight="1" x14ac:dyDescent="0.25">
      <c r="A232" s="47"/>
      <c r="B232" s="55"/>
      <c r="C232" s="9"/>
      <c r="D232" s="136"/>
      <c r="E232" s="56"/>
      <c r="F232" s="57"/>
      <c r="G232" s="126">
        <v>46200</v>
      </c>
      <c r="H232" s="127">
        <v>20</v>
      </c>
      <c r="I232" s="127"/>
      <c r="J232" s="127">
        <v>8</v>
      </c>
      <c r="K232" s="127">
        <f t="shared" si="168"/>
        <v>40</v>
      </c>
      <c r="L232" s="127">
        <f t="shared" si="168"/>
        <v>40</v>
      </c>
      <c r="M232" s="127">
        <f t="shared" si="168"/>
        <v>40</v>
      </c>
      <c r="N232" s="127">
        <f t="shared" si="153"/>
        <v>60</v>
      </c>
      <c r="O232" s="127">
        <f t="shared" si="168"/>
        <v>40</v>
      </c>
      <c r="P232" s="78">
        <f t="shared" si="169"/>
        <v>220</v>
      </c>
      <c r="Q232" s="78">
        <f t="shared" si="170"/>
        <v>8294</v>
      </c>
      <c r="R232" s="74" t="s">
        <v>23</v>
      </c>
    </row>
    <row r="233" spans="1:18" ht="15.95" customHeight="1" x14ac:dyDescent="0.25">
      <c r="A233" s="47"/>
      <c r="B233" s="55"/>
      <c r="C233" s="9"/>
      <c r="D233" s="136"/>
      <c r="E233" s="56"/>
      <c r="F233" s="57"/>
      <c r="G233" s="126">
        <v>46200</v>
      </c>
      <c r="H233" s="127">
        <v>20</v>
      </c>
      <c r="I233" s="127"/>
      <c r="J233" s="127">
        <v>9</v>
      </c>
      <c r="K233" s="127">
        <f t="shared" si="168"/>
        <v>40</v>
      </c>
      <c r="L233" s="127">
        <f t="shared" si="168"/>
        <v>40</v>
      </c>
      <c r="M233" s="127">
        <f t="shared" si="168"/>
        <v>40</v>
      </c>
      <c r="N233" s="127">
        <f t="shared" si="153"/>
        <v>60</v>
      </c>
      <c r="O233" s="127">
        <f t="shared" si="168"/>
        <v>40</v>
      </c>
      <c r="P233" s="78">
        <f t="shared" ref="P233:P234" si="171">IF(G233="","",SUM(K233:O233))</f>
        <v>220</v>
      </c>
      <c r="Q233" s="78">
        <f t="shared" ref="Q233:Q234" si="172">IF(P233="","",Q232+P233)</f>
        <v>8514</v>
      </c>
      <c r="R233" s="74" t="s">
        <v>23</v>
      </c>
    </row>
    <row r="234" spans="1:18" ht="15.95" customHeight="1" x14ac:dyDescent="0.25">
      <c r="A234" s="47"/>
      <c r="B234" s="55"/>
      <c r="C234" s="9"/>
      <c r="D234" s="136"/>
      <c r="E234" s="56"/>
      <c r="F234" s="57"/>
      <c r="G234" s="126">
        <v>46200</v>
      </c>
      <c r="H234" s="127">
        <v>20</v>
      </c>
      <c r="I234" s="127"/>
      <c r="J234" s="127">
        <v>10</v>
      </c>
      <c r="K234" s="127">
        <f t="shared" si="168"/>
        <v>40</v>
      </c>
      <c r="L234" s="127">
        <f t="shared" si="168"/>
        <v>40</v>
      </c>
      <c r="M234" s="127">
        <f t="shared" si="168"/>
        <v>40</v>
      </c>
      <c r="N234" s="127">
        <f t="shared" si="153"/>
        <v>60</v>
      </c>
      <c r="O234" s="127">
        <f t="shared" si="168"/>
        <v>40</v>
      </c>
      <c r="P234" s="78">
        <f t="shared" si="171"/>
        <v>220</v>
      </c>
      <c r="Q234" s="78">
        <f t="shared" si="172"/>
        <v>8734</v>
      </c>
      <c r="R234" s="74" t="s">
        <v>23</v>
      </c>
    </row>
    <row r="235" spans="1:18" ht="15.95" customHeight="1" x14ac:dyDescent="0.25">
      <c r="A235" s="47"/>
      <c r="B235" s="55"/>
      <c r="C235" s="9"/>
      <c r="D235" s="136"/>
      <c r="E235" s="56"/>
      <c r="F235" s="57"/>
      <c r="G235" s="126">
        <v>46200</v>
      </c>
      <c r="H235" s="127">
        <v>20</v>
      </c>
      <c r="I235" s="127"/>
      <c r="J235" s="127">
        <v>11</v>
      </c>
      <c r="K235" s="127">
        <f t="shared" si="168"/>
        <v>40</v>
      </c>
      <c r="L235" s="127">
        <f t="shared" si="168"/>
        <v>40</v>
      </c>
      <c r="M235" s="127">
        <f t="shared" si="168"/>
        <v>40</v>
      </c>
      <c r="N235" s="127">
        <f t="shared" si="153"/>
        <v>60</v>
      </c>
      <c r="O235" s="127">
        <f t="shared" si="168"/>
        <v>40</v>
      </c>
      <c r="P235" s="78">
        <f t="shared" ref="P235:P236" si="173">IF(G235="","",SUM(K235:O235))</f>
        <v>220</v>
      </c>
      <c r="Q235" s="78">
        <f t="shared" ref="Q235:Q236" si="174">IF(P235="","",Q234+P235)</f>
        <v>8954</v>
      </c>
      <c r="R235" s="74" t="s">
        <v>23</v>
      </c>
    </row>
    <row r="236" spans="1:18" ht="15.95" customHeight="1" x14ac:dyDescent="0.25">
      <c r="A236" s="47"/>
      <c r="B236" s="55"/>
      <c r="C236" s="9"/>
      <c r="D236" s="136"/>
      <c r="E236" s="56"/>
      <c r="F236" s="57"/>
      <c r="G236" s="162">
        <v>46201</v>
      </c>
      <c r="H236" s="125">
        <v>20</v>
      </c>
      <c r="I236" s="125"/>
      <c r="J236" s="125">
        <v>12</v>
      </c>
      <c r="K236" s="125">
        <f t="shared" si="168"/>
        <v>40</v>
      </c>
      <c r="L236" s="125">
        <f t="shared" si="168"/>
        <v>40</v>
      </c>
      <c r="M236" s="125">
        <f t="shared" si="168"/>
        <v>40</v>
      </c>
      <c r="N236" s="125">
        <f t="shared" si="153"/>
        <v>60</v>
      </c>
      <c r="O236" s="125">
        <f t="shared" si="168"/>
        <v>40</v>
      </c>
      <c r="P236" s="120">
        <f t="shared" si="173"/>
        <v>220</v>
      </c>
      <c r="Q236" s="120">
        <f t="shared" si="174"/>
        <v>9174</v>
      </c>
      <c r="R236" s="121" t="s">
        <v>23</v>
      </c>
    </row>
    <row r="237" spans="1:18" ht="15.95" customHeight="1" x14ac:dyDescent="0.25">
      <c r="A237" s="47"/>
      <c r="B237" s="55"/>
      <c r="C237" s="9"/>
      <c r="D237" s="136"/>
      <c r="E237" s="56"/>
      <c r="F237" s="57"/>
      <c r="G237" s="162">
        <v>46201</v>
      </c>
      <c r="H237" s="125">
        <v>20</v>
      </c>
      <c r="I237" s="125"/>
      <c r="J237" s="125">
        <v>13</v>
      </c>
      <c r="K237" s="125">
        <f t="shared" si="168"/>
        <v>40</v>
      </c>
      <c r="L237" s="125">
        <f t="shared" si="168"/>
        <v>40</v>
      </c>
      <c r="M237" s="125">
        <f t="shared" si="168"/>
        <v>40</v>
      </c>
      <c r="N237" s="125">
        <f t="shared" si="153"/>
        <v>60</v>
      </c>
      <c r="O237" s="125">
        <f t="shared" si="168"/>
        <v>40</v>
      </c>
      <c r="P237" s="120">
        <f t="shared" ref="P237:P240" si="175">IF(G237="","",SUM(K237:O237))</f>
        <v>220</v>
      </c>
      <c r="Q237" s="120">
        <f t="shared" ref="Q237:Q240" si="176">IF(P237="","",Q236+P237)</f>
        <v>9394</v>
      </c>
      <c r="R237" s="121" t="s">
        <v>23</v>
      </c>
    </row>
    <row r="238" spans="1:18" ht="15.95" customHeight="1" x14ac:dyDescent="0.25">
      <c r="A238" s="47"/>
      <c r="B238" s="55"/>
      <c r="C238" s="9"/>
      <c r="D238" s="136"/>
      <c r="E238" s="56"/>
      <c r="F238" s="57"/>
      <c r="G238" s="162">
        <v>46201</v>
      </c>
      <c r="H238" s="125">
        <v>20</v>
      </c>
      <c r="I238" s="125"/>
      <c r="J238" s="125">
        <v>14</v>
      </c>
      <c r="K238" s="125">
        <f t="shared" si="168"/>
        <v>40</v>
      </c>
      <c r="L238" s="125">
        <f t="shared" si="168"/>
        <v>40</v>
      </c>
      <c r="M238" s="125">
        <f t="shared" si="168"/>
        <v>40</v>
      </c>
      <c r="N238" s="125">
        <f t="shared" si="153"/>
        <v>60</v>
      </c>
      <c r="O238" s="125">
        <f t="shared" si="168"/>
        <v>40</v>
      </c>
      <c r="P238" s="120">
        <f t="shared" si="175"/>
        <v>220</v>
      </c>
      <c r="Q238" s="120">
        <f t="shared" si="176"/>
        <v>9614</v>
      </c>
      <c r="R238" s="121" t="s">
        <v>23</v>
      </c>
    </row>
    <row r="239" spans="1:18" ht="15.95" customHeight="1" x14ac:dyDescent="0.25">
      <c r="A239" s="47"/>
      <c r="B239" s="55"/>
      <c r="C239" s="9"/>
      <c r="D239" s="136"/>
      <c r="E239" s="56"/>
      <c r="F239" s="57"/>
      <c r="G239" s="162">
        <v>46201</v>
      </c>
      <c r="H239" s="125">
        <v>20</v>
      </c>
      <c r="I239" s="125"/>
      <c r="J239" s="125">
        <v>15</v>
      </c>
      <c r="K239" s="125">
        <f t="shared" si="168"/>
        <v>40</v>
      </c>
      <c r="L239" s="125">
        <f t="shared" si="168"/>
        <v>40</v>
      </c>
      <c r="M239" s="125">
        <f t="shared" si="168"/>
        <v>40</v>
      </c>
      <c r="N239" s="125">
        <f t="shared" si="153"/>
        <v>60</v>
      </c>
      <c r="O239" s="125">
        <f t="shared" si="168"/>
        <v>40</v>
      </c>
      <c r="P239" s="120">
        <f t="shared" si="175"/>
        <v>220</v>
      </c>
      <c r="Q239" s="120">
        <f t="shared" si="176"/>
        <v>9834</v>
      </c>
      <c r="R239" s="121" t="s">
        <v>23</v>
      </c>
    </row>
    <row r="240" spans="1:18" ht="15.95" customHeight="1" x14ac:dyDescent="0.25">
      <c r="A240" s="47"/>
      <c r="B240" s="55"/>
      <c r="C240" s="9"/>
      <c r="D240" s="136"/>
      <c r="E240" s="56"/>
      <c r="F240" s="57"/>
      <c r="G240" s="162">
        <v>46201</v>
      </c>
      <c r="H240" s="125">
        <v>20</v>
      </c>
      <c r="I240" s="125"/>
      <c r="J240" s="125">
        <v>16</v>
      </c>
      <c r="K240" s="125">
        <f t="shared" si="168"/>
        <v>40</v>
      </c>
      <c r="L240" s="125">
        <f t="shared" si="168"/>
        <v>40</v>
      </c>
      <c r="M240" s="125">
        <f t="shared" si="168"/>
        <v>40</v>
      </c>
      <c r="N240" s="125">
        <f t="shared" si="153"/>
        <v>60</v>
      </c>
      <c r="O240" s="125">
        <f t="shared" si="168"/>
        <v>40</v>
      </c>
      <c r="P240" s="120">
        <f t="shared" si="175"/>
        <v>220</v>
      </c>
      <c r="Q240" s="120">
        <f t="shared" si="176"/>
        <v>10054</v>
      </c>
      <c r="R240" s="121" t="s">
        <v>23</v>
      </c>
    </row>
    <row r="241" spans="1:18" ht="15.95" customHeight="1" x14ac:dyDescent="0.25">
      <c r="A241" s="47"/>
      <c r="B241" s="55"/>
      <c r="C241" s="9"/>
      <c r="D241" s="136"/>
      <c r="E241" s="56"/>
      <c r="F241" s="57"/>
      <c r="G241" s="162">
        <v>46201</v>
      </c>
      <c r="H241" s="125">
        <v>20</v>
      </c>
      <c r="I241" s="125"/>
      <c r="J241" s="125">
        <v>17</v>
      </c>
      <c r="K241" s="125">
        <f t="shared" si="168"/>
        <v>40</v>
      </c>
      <c r="L241" s="125">
        <f t="shared" si="168"/>
        <v>40</v>
      </c>
      <c r="M241" s="125">
        <f t="shared" si="168"/>
        <v>40</v>
      </c>
      <c r="N241" s="125">
        <f t="shared" si="153"/>
        <v>60</v>
      </c>
      <c r="O241" s="125">
        <f t="shared" si="168"/>
        <v>40</v>
      </c>
      <c r="P241" s="120">
        <f t="shared" ref="P241:P242" si="177">IF(G241="","",SUM(K241:O241))</f>
        <v>220</v>
      </c>
      <c r="Q241" s="120">
        <f t="shared" ref="Q241:Q242" si="178">IF(P241="","",Q240+P241)</f>
        <v>10274</v>
      </c>
      <c r="R241" s="121" t="s">
        <v>23</v>
      </c>
    </row>
    <row r="242" spans="1:18" ht="15.95" customHeight="1" x14ac:dyDescent="0.25">
      <c r="A242" s="47"/>
      <c r="B242" s="55"/>
      <c r="C242" s="9"/>
      <c r="D242" s="136"/>
      <c r="E242" s="56"/>
      <c r="F242" s="57"/>
      <c r="G242" s="162">
        <v>46201</v>
      </c>
      <c r="H242" s="125">
        <v>20</v>
      </c>
      <c r="I242" s="125"/>
      <c r="J242" s="125">
        <v>18</v>
      </c>
      <c r="K242" s="125">
        <f t="shared" si="168"/>
        <v>40</v>
      </c>
      <c r="L242" s="125">
        <f t="shared" si="168"/>
        <v>40</v>
      </c>
      <c r="M242" s="125">
        <f t="shared" si="168"/>
        <v>40</v>
      </c>
      <c r="N242" s="125">
        <f t="shared" si="153"/>
        <v>60</v>
      </c>
      <c r="O242" s="125">
        <f t="shared" si="168"/>
        <v>40</v>
      </c>
      <c r="P242" s="120">
        <f t="shared" si="177"/>
        <v>220</v>
      </c>
      <c r="Q242" s="120">
        <f t="shared" si="178"/>
        <v>10494</v>
      </c>
      <c r="R242" s="121" t="s">
        <v>23</v>
      </c>
    </row>
    <row r="243" spans="1:18" ht="15.95" customHeight="1" x14ac:dyDescent="0.25">
      <c r="A243" s="47"/>
      <c r="B243" s="55"/>
      <c r="C243" s="9"/>
      <c r="D243" s="136"/>
      <c r="E243" s="56"/>
      <c r="F243" s="57"/>
      <c r="G243" s="162">
        <v>46201</v>
      </c>
      <c r="H243" s="125">
        <v>20</v>
      </c>
      <c r="I243" s="125"/>
      <c r="J243" s="125">
        <v>19</v>
      </c>
      <c r="K243" s="125">
        <f t="shared" si="168"/>
        <v>40</v>
      </c>
      <c r="L243" s="125">
        <f t="shared" si="168"/>
        <v>40</v>
      </c>
      <c r="M243" s="125">
        <f t="shared" si="168"/>
        <v>40</v>
      </c>
      <c r="N243" s="125">
        <f t="shared" si="153"/>
        <v>60</v>
      </c>
      <c r="O243" s="125">
        <f t="shared" si="168"/>
        <v>40</v>
      </c>
      <c r="P243" s="120">
        <f t="shared" ref="P243:P244" si="179">IF(G243="","",SUM(K243:O243))</f>
        <v>220</v>
      </c>
      <c r="Q243" s="120">
        <f t="shared" ref="Q243:Q244" si="180">IF(P243="","",Q242+P243)</f>
        <v>10714</v>
      </c>
      <c r="R243" s="121" t="s">
        <v>23</v>
      </c>
    </row>
    <row r="244" spans="1:18" ht="15.95" customHeight="1" x14ac:dyDescent="0.25">
      <c r="A244" s="47"/>
      <c r="B244" s="55"/>
      <c r="C244" s="9"/>
      <c r="D244" s="136"/>
      <c r="E244" s="56"/>
      <c r="F244" s="57"/>
      <c r="G244" s="162">
        <v>46201</v>
      </c>
      <c r="H244" s="125">
        <v>20</v>
      </c>
      <c r="I244" s="125"/>
      <c r="J244" s="125">
        <v>20</v>
      </c>
      <c r="K244" s="125">
        <f t="shared" si="168"/>
        <v>40</v>
      </c>
      <c r="L244" s="125">
        <f t="shared" si="168"/>
        <v>40</v>
      </c>
      <c r="M244" s="125">
        <f t="shared" si="168"/>
        <v>40</v>
      </c>
      <c r="N244" s="125">
        <f t="shared" si="153"/>
        <v>60</v>
      </c>
      <c r="O244" s="125">
        <f t="shared" si="168"/>
        <v>40</v>
      </c>
      <c r="P244" s="120">
        <f t="shared" si="179"/>
        <v>220</v>
      </c>
      <c r="Q244" s="120">
        <f t="shared" si="180"/>
        <v>10934</v>
      </c>
      <c r="R244" s="121" t="s">
        <v>23</v>
      </c>
    </row>
    <row r="245" spans="1:18" ht="15.95" customHeight="1" x14ac:dyDescent="0.25">
      <c r="A245" s="47"/>
      <c r="B245" s="55"/>
      <c r="C245" s="9"/>
      <c r="D245" s="136"/>
      <c r="E245" s="56"/>
      <c r="F245" s="57"/>
      <c r="G245" s="162">
        <v>46201</v>
      </c>
      <c r="H245" s="125">
        <v>20</v>
      </c>
      <c r="I245" s="125"/>
      <c r="J245" s="125">
        <v>21</v>
      </c>
      <c r="K245" s="125">
        <f t="shared" si="168"/>
        <v>40</v>
      </c>
      <c r="L245" s="125">
        <f t="shared" si="168"/>
        <v>40</v>
      </c>
      <c r="M245" s="125">
        <f t="shared" si="168"/>
        <v>40</v>
      </c>
      <c r="N245" s="125">
        <f t="shared" si="153"/>
        <v>60</v>
      </c>
      <c r="O245" s="125">
        <f t="shared" si="168"/>
        <v>40</v>
      </c>
      <c r="P245" s="120">
        <f t="shared" ref="P245:P246" si="181">IF(G245="","",SUM(K245:O245))</f>
        <v>220</v>
      </c>
      <c r="Q245" s="120">
        <f t="shared" ref="Q245:Q246" si="182">IF(P245="","",Q244+P245)</f>
        <v>11154</v>
      </c>
      <c r="R245" s="121" t="s">
        <v>23</v>
      </c>
    </row>
    <row r="246" spans="1:18" ht="15.95" customHeight="1" x14ac:dyDescent="0.25">
      <c r="A246" s="47"/>
      <c r="B246" s="55"/>
      <c r="C246" s="9"/>
      <c r="D246" s="136"/>
      <c r="E246" s="56"/>
      <c r="F246" s="57"/>
      <c r="G246" s="162">
        <v>46201</v>
      </c>
      <c r="H246" s="125">
        <v>20</v>
      </c>
      <c r="I246" s="125"/>
      <c r="J246" s="125">
        <v>22</v>
      </c>
      <c r="K246" s="125">
        <f t="shared" si="168"/>
        <v>40</v>
      </c>
      <c r="L246" s="125">
        <f t="shared" si="168"/>
        <v>40</v>
      </c>
      <c r="M246" s="125">
        <f t="shared" si="168"/>
        <v>40</v>
      </c>
      <c r="N246" s="125">
        <f t="shared" si="153"/>
        <v>60</v>
      </c>
      <c r="O246" s="125">
        <f t="shared" si="168"/>
        <v>40</v>
      </c>
      <c r="P246" s="120">
        <f t="shared" si="181"/>
        <v>220</v>
      </c>
      <c r="Q246" s="120">
        <f t="shared" si="182"/>
        <v>11374</v>
      </c>
      <c r="R246" s="121" t="s">
        <v>23</v>
      </c>
    </row>
    <row r="247" spans="1:18" ht="15.95" customHeight="1" x14ac:dyDescent="0.25">
      <c r="A247" s="47"/>
      <c r="B247" s="55"/>
      <c r="C247" s="9"/>
      <c r="D247" s="136"/>
      <c r="E247" s="56"/>
      <c r="F247" s="57"/>
      <c r="G247" s="162">
        <v>46202</v>
      </c>
      <c r="H247" s="125">
        <v>20</v>
      </c>
      <c r="I247" s="125"/>
      <c r="J247" s="125">
        <v>23</v>
      </c>
      <c r="K247" s="125">
        <f t="shared" si="168"/>
        <v>40</v>
      </c>
      <c r="L247" s="125">
        <f t="shared" si="168"/>
        <v>40</v>
      </c>
      <c r="M247" s="125">
        <f t="shared" si="168"/>
        <v>40</v>
      </c>
      <c r="N247" s="125">
        <f t="shared" si="153"/>
        <v>60</v>
      </c>
      <c r="O247" s="125">
        <f t="shared" si="168"/>
        <v>40</v>
      </c>
      <c r="P247" s="120">
        <f t="shared" ref="P247" si="183">IF(G247="","",SUM(K247:O247))</f>
        <v>220</v>
      </c>
      <c r="Q247" s="120">
        <f t="shared" ref="Q247" si="184">IF(P247="","",Q246+P247)</f>
        <v>11594</v>
      </c>
      <c r="R247" s="121" t="s">
        <v>23</v>
      </c>
    </row>
    <row r="248" spans="1:18" ht="15.95" customHeight="1" x14ac:dyDescent="0.25">
      <c r="A248" s="47"/>
      <c r="B248" s="55"/>
      <c r="C248" s="9"/>
      <c r="D248" s="136"/>
      <c r="E248" s="56"/>
      <c r="F248" s="57"/>
      <c r="G248" s="126"/>
      <c r="H248" s="127"/>
      <c r="I248" s="127"/>
      <c r="J248" s="127"/>
      <c r="K248" s="127"/>
      <c r="L248" s="127"/>
      <c r="M248" s="127"/>
      <c r="N248" s="127"/>
      <c r="O248" s="127"/>
      <c r="P248" s="120" t="str">
        <f t="shared" ref="P248:P249" si="185">IF(G248="","",SUM(K248:O248))</f>
        <v/>
      </c>
      <c r="Q248" s="120" t="str">
        <f>IF(P248="","",Q243+P248)</f>
        <v/>
      </c>
      <c r="R248" s="74"/>
    </row>
    <row r="249" spans="1:18" ht="15.75" customHeight="1" thickBot="1" x14ac:dyDescent="0.3">
      <c r="A249" s="47"/>
      <c r="B249" s="55"/>
      <c r="C249" s="9"/>
      <c r="D249" s="136"/>
      <c r="E249" s="56"/>
      <c r="F249" s="57"/>
      <c r="G249" s="126"/>
      <c r="H249" s="127"/>
      <c r="I249" s="127"/>
      <c r="J249" s="127"/>
      <c r="K249" s="127"/>
      <c r="L249" s="127"/>
      <c r="M249" s="127"/>
      <c r="N249" s="127"/>
      <c r="O249" s="127"/>
      <c r="P249" s="120" t="str">
        <f t="shared" si="185"/>
        <v/>
      </c>
      <c r="Q249" s="120" t="str">
        <f t="shared" ref="Q249" si="186">IF(P249="","",Q248+P249)</f>
        <v/>
      </c>
      <c r="R249" s="74"/>
    </row>
    <row r="250" spans="1:18" ht="19.5" customHeight="1" thickBot="1" x14ac:dyDescent="0.3">
      <c r="A250" s="48"/>
      <c r="B250" s="58"/>
      <c r="C250" s="58"/>
      <c r="D250" s="138"/>
      <c r="E250" s="59"/>
      <c r="F250" s="58"/>
      <c r="G250" s="19"/>
      <c r="H250" s="20"/>
      <c r="I250" s="21"/>
      <c r="J250" s="22" t="s">
        <v>11</v>
      </c>
      <c r="K250" s="38">
        <f>SUM(K195:K249)</f>
        <v>2108</v>
      </c>
      <c r="L250" s="38">
        <f>SUM(L195:L249)</f>
        <v>2108</v>
      </c>
      <c r="M250" s="38">
        <f>SUM(M195:M249)</f>
        <v>2108</v>
      </c>
      <c r="N250" s="38">
        <f>SUM(N195:N249)</f>
        <v>3162</v>
      </c>
      <c r="O250" s="38">
        <f>SUM(O195:O249)</f>
        <v>2108</v>
      </c>
      <c r="P250" s="38">
        <f>SUM(K250:O250)</f>
        <v>11594</v>
      </c>
      <c r="Q250" s="23"/>
      <c r="R250" s="82"/>
    </row>
    <row r="251" spans="1:18" ht="18.75" customHeight="1" thickBot="1" x14ac:dyDescent="0.3">
      <c r="A251" s="49"/>
      <c r="B251" s="60"/>
      <c r="C251" s="60"/>
      <c r="D251" s="139"/>
      <c r="E251" s="60"/>
      <c r="F251" s="60"/>
      <c r="G251" s="24"/>
      <c r="H251" s="24"/>
      <c r="I251" s="25"/>
      <c r="J251" s="26" t="s">
        <v>12</v>
      </c>
      <c r="K251" s="39">
        <f>IF(K193="","",K250-K193)</f>
        <v>-504</v>
      </c>
      <c r="L251" s="39">
        <f>IF(L193="","",L250-L193)</f>
        <v>-504</v>
      </c>
      <c r="M251" s="39">
        <f>IF(M193="","",M250-M193)</f>
        <v>-504</v>
      </c>
      <c r="N251" s="39">
        <f>IF(N193="","",N250-N193)</f>
        <v>-756</v>
      </c>
      <c r="O251" s="39">
        <f>IF(O193="","",O250-O193)</f>
        <v>-504</v>
      </c>
      <c r="P251" s="39">
        <f>SUM(K251:O251)</f>
        <v>-2772</v>
      </c>
      <c r="Q251" s="27"/>
      <c r="R251" s="83"/>
    </row>
    <row r="252" spans="1:18" x14ac:dyDescent="0.25">
      <c r="I252"/>
      <c r="J252" s="71">
        <v>64</v>
      </c>
      <c r="K252" s="70">
        <f t="shared" ref="K252:P252" si="187">SUM(K122:K181)</f>
        <v>2404</v>
      </c>
      <c r="L252" s="70">
        <f t="shared" si="187"/>
        <v>2404</v>
      </c>
      <c r="M252" s="70">
        <f t="shared" si="187"/>
        <v>2404</v>
      </c>
      <c r="N252" s="70">
        <f t="shared" si="187"/>
        <v>3606</v>
      </c>
      <c r="O252" s="70">
        <f t="shared" si="187"/>
        <v>2404</v>
      </c>
      <c r="P252" s="70">
        <f t="shared" si="187"/>
        <v>13222</v>
      </c>
      <c r="Q252" s="29"/>
    </row>
    <row r="253" spans="1:18" ht="15.75" customHeight="1" x14ac:dyDescent="0.25">
      <c r="I253"/>
      <c r="J253" s="63" t="s">
        <v>18</v>
      </c>
      <c r="K253" s="75">
        <f t="shared" ref="K253:P253" si="188">K45+K3+K120</f>
        <v>6746</v>
      </c>
      <c r="L253" s="75">
        <f t="shared" si="188"/>
        <v>6746</v>
      </c>
      <c r="M253" s="75">
        <f t="shared" si="188"/>
        <v>6746</v>
      </c>
      <c r="N253" s="75">
        <f t="shared" si="188"/>
        <v>10119</v>
      </c>
      <c r="O253" s="75">
        <f t="shared" si="188"/>
        <v>6746</v>
      </c>
      <c r="P253" s="75">
        <f t="shared" si="188"/>
        <v>37103</v>
      </c>
      <c r="Q253" s="29"/>
    </row>
    <row r="254" spans="1:18" ht="15.75" customHeight="1" x14ac:dyDescent="0.25">
      <c r="I254"/>
      <c r="J254" s="63" t="s">
        <v>19</v>
      </c>
      <c r="K254" s="75">
        <f t="shared" ref="K254:P254" si="189">K116+K41+K189</f>
        <v>6650</v>
      </c>
      <c r="L254" s="75">
        <f t="shared" si="189"/>
        <v>6650</v>
      </c>
      <c r="M254" s="75">
        <f t="shared" si="189"/>
        <v>6650</v>
      </c>
      <c r="N254" s="75">
        <f t="shared" si="189"/>
        <v>9975</v>
      </c>
      <c r="O254" s="75">
        <f t="shared" si="189"/>
        <v>6650</v>
      </c>
      <c r="P254" s="75">
        <f t="shared" si="189"/>
        <v>36575</v>
      </c>
      <c r="Q254" s="29"/>
    </row>
    <row r="255" spans="1:18" ht="15.75" customHeight="1" x14ac:dyDescent="0.25">
      <c r="I255"/>
      <c r="J255" s="64" t="s">
        <v>20</v>
      </c>
      <c r="K255" s="66">
        <f>K254-K253</f>
        <v>-96</v>
      </c>
      <c r="L255" s="66">
        <f t="shared" ref="L255:P255" si="190">L254-L253</f>
        <v>-96</v>
      </c>
      <c r="M255" s="66">
        <f t="shared" si="190"/>
        <v>-96</v>
      </c>
      <c r="N255" s="66">
        <f t="shared" si="190"/>
        <v>-144</v>
      </c>
      <c r="O255" s="66">
        <f t="shared" si="190"/>
        <v>-96</v>
      </c>
      <c r="P255" s="66">
        <f t="shared" si="190"/>
        <v>-528</v>
      </c>
      <c r="Q255" s="29"/>
    </row>
    <row r="256" spans="1:18" ht="15.75" customHeight="1" x14ac:dyDescent="0.25">
      <c r="I256"/>
      <c r="J256" s="65" t="s">
        <v>21</v>
      </c>
      <c r="K256" s="68">
        <f>K255/K253</f>
        <v>-1.4230655203083309E-2</v>
      </c>
      <c r="L256" s="68">
        <f t="shared" ref="L256:P256" si="191">L255/L253</f>
        <v>-1.4230655203083309E-2</v>
      </c>
      <c r="M256" s="68">
        <f t="shared" si="191"/>
        <v>-1.4230655203083309E-2</v>
      </c>
      <c r="N256" s="68">
        <f t="shared" si="191"/>
        <v>-1.4230655203083309E-2</v>
      </c>
      <c r="O256" s="68">
        <f t="shared" si="191"/>
        <v>-1.4230655203083309E-2</v>
      </c>
      <c r="P256" s="68">
        <f t="shared" si="191"/>
        <v>-1.4230655203083309E-2</v>
      </c>
      <c r="Q256" s="29"/>
    </row>
    <row r="257" spans="1:18" ht="15.75" customHeight="1" x14ac:dyDescent="0.25">
      <c r="I257"/>
      <c r="J257" s="71"/>
      <c r="K257" s="75"/>
      <c r="L257" s="75"/>
      <c r="M257" s="75"/>
      <c r="N257" s="75"/>
      <c r="O257" s="75"/>
      <c r="P257" s="75"/>
      <c r="Q257" s="29"/>
    </row>
    <row r="258" spans="1:18" s="31" customFormat="1" ht="18.75" customHeight="1" x14ac:dyDescent="0.3">
      <c r="A258" s="45"/>
      <c r="B258" s="62"/>
      <c r="C258" s="62"/>
      <c r="D258" s="141"/>
      <c r="E258" s="62"/>
      <c r="F258" s="62"/>
      <c r="G258" s="34"/>
      <c r="H258" s="34"/>
      <c r="I258" s="35"/>
      <c r="J258" s="34"/>
      <c r="K258" s="28"/>
      <c r="L258" s="28"/>
      <c r="M258" s="28"/>
      <c r="N258" s="28"/>
      <c r="O258" s="63" t="s">
        <v>18</v>
      </c>
      <c r="P258" s="66">
        <f>P45+P3+P120+P193</f>
        <v>51469</v>
      </c>
      <c r="Q258" s="35"/>
      <c r="R258" s="84"/>
    </row>
    <row r="259" spans="1:18" x14ac:dyDescent="0.25">
      <c r="K259" s="28"/>
      <c r="L259" s="28"/>
      <c r="M259" s="28"/>
      <c r="N259" s="28"/>
      <c r="O259" s="63" t="s">
        <v>19</v>
      </c>
      <c r="P259" s="67">
        <f>P116+P41+P189+P250</f>
        <v>48169</v>
      </c>
    </row>
    <row r="260" spans="1:18" x14ac:dyDescent="0.25">
      <c r="K260" s="36"/>
      <c r="L260" s="36"/>
      <c r="M260" s="36"/>
      <c r="N260" s="36"/>
      <c r="O260" s="64" t="s">
        <v>20</v>
      </c>
      <c r="P260" s="66">
        <f>P259-P258</f>
        <v>-3300</v>
      </c>
    </row>
    <row r="261" spans="1:18" ht="18.75" x14ac:dyDescent="0.25">
      <c r="A261"/>
      <c r="B261"/>
      <c r="C261"/>
      <c r="E261"/>
      <c r="F261"/>
      <c r="I261"/>
      <c r="K261"/>
      <c r="L261"/>
      <c r="M261"/>
      <c r="N261"/>
      <c r="O261" s="65" t="s">
        <v>21</v>
      </c>
      <c r="P261" s="68">
        <f>P260/P258</f>
        <v>-6.411626415900834E-2</v>
      </c>
      <c r="Q261" s="173" t="s">
        <v>15</v>
      </c>
      <c r="R261" s="173"/>
    </row>
    <row r="264" spans="1:18" x14ac:dyDescent="0.25">
      <c r="A264"/>
      <c r="B264"/>
      <c r="C264"/>
      <c r="E264"/>
      <c r="F264"/>
      <c r="I264"/>
      <c r="J264" s="1"/>
      <c r="K264"/>
      <c r="L264"/>
      <c r="M264"/>
      <c r="N264"/>
      <c r="O264" s="69"/>
      <c r="P264" s="66"/>
    </row>
    <row r="265" spans="1:18" x14ac:dyDescent="0.25">
      <c r="A265"/>
      <c r="B265"/>
      <c r="C265"/>
      <c r="E265"/>
      <c r="F265"/>
      <c r="I265"/>
      <c r="J265" s="1"/>
      <c r="K265"/>
      <c r="L265"/>
      <c r="M265"/>
      <c r="N265"/>
      <c r="P265" s="66"/>
      <c r="Q265" s="77"/>
    </row>
    <row r="266" spans="1:18" x14ac:dyDescent="0.25">
      <c r="A266"/>
      <c r="B266"/>
      <c r="C266"/>
      <c r="E266"/>
      <c r="F266"/>
      <c r="I266"/>
      <c r="J266" s="1"/>
      <c r="K266"/>
      <c r="L266"/>
      <c r="M266"/>
      <c r="N266"/>
      <c r="P266" s="66"/>
    </row>
    <row r="267" spans="1:18" x14ac:dyDescent="0.25">
      <c r="A267"/>
      <c r="B267"/>
      <c r="C267"/>
      <c r="E267"/>
      <c r="F267"/>
      <c r="I267"/>
      <c r="K267"/>
      <c r="L267"/>
      <c r="M267"/>
      <c r="N267"/>
      <c r="P267" s="68"/>
    </row>
    <row r="281" spans="10:17" x14ac:dyDescent="0.25">
      <c r="J281" s="43"/>
      <c r="K281"/>
      <c r="L281"/>
      <c r="M281"/>
      <c r="N281"/>
      <c r="O281"/>
      <c r="P281"/>
      <c r="Q281"/>
    </row>
    <row r="282" spans="10:17" x14ac:dyDescent="0.25">
      <c r="J282" s="43"/>
      <c r="K282"/>
      <c r="L282"/>
      <c r="M282"/>
      <c r="N282"/>
      <c r="O282"/>
      <c r="P282"/>
      <c r="Q282"/>
    </row>
    <row r="283" spans="10:17" x14ac:dyDescent="0.25">
      <c r="J283" s="43"/>
      <c r="K283"/>
      <c r="L283"/>
      <c r="M283"/>
      <c r="N283"/>
      <c r="O283"/>
      <c r="P283"/>
      <c r="Q283"/>
    </row>
  </sheetData>
  <mergeCells count="1">
    <mergeCell ref="Q261:R261"/>
  </mergeCells>
  <conditionalFormatting sqref="K42:P42">
    <cfRule type="cellIs" dxfId="15" priority="9" operator="lessThan">
      <formula>0</formula>
    </cfRule>
    <cfRule type="cellIs" dxfId="14" priority="10" operator="greaterThan">
      <formula>0</formula>
    </cfRule>
  </conditionalFormatting>
  <conditionalFormatting sqref="K117:P118">
    <cfRule type="cellIs" dxfId="13" priority="5" operator="lessThan">
      <formula>0</formula>
    </cfRule>
    <cfRule type="cellIs" dxfId="12" priority="6" operator="greaterThan">
      <formula>0</formula>
    </cfRule>
  </conditionalFormatting>
  <conditionalFormatting sqref="K190:P191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K251:P251">
    <cfRule type="cellIs" dxfId="9" priority="3" operator="lessThan">
      <formula>0</formula>
    </cfRule>
    <cfRule type="cellIs" dxfId="8" priority="4" operator="greaterThan">
      <formula>0</formula>
    </cfRule>
  </conditionalFormatting>
  <printOptions horizontalCentered="1" verticalCentered="1"/>
  <pageMargins left="0.25" right="0.25" top="0" bottom="0" header="0.3" footer="0.75"/>
  <pageSetup paperSize="9" scale="46" fitToHeight="0" orientation="landscape" r:id="rId1"/>
  <rowBreaks count="3" manualBreakCount="3">
    <brk id="43" max="17" man="1"/>
    <brk id="118" max="17" man="1"/>
    <brk id="191" max="1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9"/>
  <sheetViews>
    <sheetView view="pageBreakPreview" topLeftCell="A175" zoomScale="80" zoomScaleNormal="78" zoomScaleSheetLayoutView="80" workbookViewId="0">
      <selection activeCell="B207" sqref="B207"/>
    </sheetView>
  </sheetViews>
  <sheetFormatPr defaultRowHeight="18" x14ac:dyDescent="0.25"/>
  <cols>
    <col min="1" max="1" width="17.484375" style="45" customWidth="1"/>
    <col min="2" max="2" width="17.21875" style="43" customWidth="1"/>
    <col min="3" max="3" width="14.390625" style="43" customWidth="1"/>
    <col min="4" max="4" width="19.7734375" style="140" customWidth="1"/>
    <col min="5" max="5" width="13.98828125" style="61" customWidth="1"/>
    <col min="6" max="6" width="13.71875" style="43" customWidth="1"/>
    <col min="7" max="7" width="15.73828125" customWidth="1"/>
    <col min="8" max="8" width="7.80078125" customWidth="1"/>
    <col min="9" max="9" width="7.6640625" style="1" customWidth="1"/>
    <col min="10" max="10" width="8.609375" customWidth="1"/>
    <col min="11" max="13" width="9.55078125" style="1" customWidth="1"/>
    <col min="14" max="15" width="10.76171875" style="1" customWidth="1"/>
    <col min="16" max="16" width="13.1796875" style="1" customWidth="1"/>
    <col min="17" max="17" width="14.52734375" style="1" customWidth="1"/>
    <col min="18" max="18" width="18.5625" style="61" customWidth="1"/>
    <col min="19" max="19" width="9.01171875" customWidth="1"/>
    <col min="21" max="25" width="9.14453125" customWidth="1"/>
  </cols>
  <sheetData>
    <row r="1" spans="1:18" s="31" customFormat="1" ht="28.5" customHeight="1" x14ac:dyDescent="0.45">
      <c r="A1" s="45"/>
      <c r="B1" s="40"/>
      <c r="C1" s="40"/>
      <c r="D1" s="132"/>
      <c r="E1" s="40"/>
      <c r="F1" s="40"/>
      <c r="I1" s="33" t="s">
        <v>27</v>
      </c>
      <c r="K1" s="32"/>
      <c r="L1" s="32"/>
      <c r="M1" s="32"/>
      <c r="N1" s="32"/>
      <c r="O1" s="32"/>
      <c r="P1" s="32"/>
      <c r="Q1" s="32"/>
      <c r="R1" s="80"/>
    </row>
    <row r="2" spans="1:18" s="1" customFormat="1" ht="18.75" customHeight="1" thickBot="1" x14ac:dyDescent="0.35">
      <c r="A2" s="46"/>
      <c r="B2" s="41"/>
      <c r="C2" s="41"/>
      <c r="D2" s="133"/>
      <c r="E2" s="41"/>
      <c r="F2" s="41"/>
      <c r="I2" s="90" t="s">
        <v>26</v>
      </c>
      <c r="K2" s="30"/>
      <c r="L2" s="30"/>
      <c r="M2" s="30"/>
      <c r="N2" s="30"/>
      <c r="O2" s="30"/>
      <c r="P2" s="30"/>
      <c r="Q2" s="30"/>
      <c r="R2" s="81"/>
    </row>
    <row r="3" spans="1:18" s="2" customFormat="1" ht="27" customHeight="1" thickBot="1" x14ac:dyDescent="0.25">
      <c r="A3" s="91"/>
      <c r="B3" s="51"/>
      <c r="C3" s="51"/>
      <c r="D3" s="134"/>
      <c r="E3" s="52"/>
      <c r="F3" s="53"/>
      <c r="G3" s="15"/>
      <c r="H3" s="15"/>
      <c r="I3" s="15"/>
      <c r="J3" s="16" t="s">
        <v>16</v>
      </c>
      <c r="K3" s="17">
        <v>1306</v>
      </c>
      <c r="L3" s="17">
        <v>1306</v>
      </c>
      <c r="M3" s="17">
        <v>1959</v>
      </c>
      <c r="N3" s="17">
        <v>1959</v>
      </c>
      <c r="O3" s="17">
        <v>1306</v>
      </c>
      <c r="P3" s="18">
        <f>SUM(K3:O3)</f>
        <v>7836</v>
      </c>
      <c r="Q3" s="37"/>
      <c r="R3" s="76"/>
    </row>
    <row r="4" spans="1:18" s="13" customFormat="1" ht="30.75" customHeight="1" thickBot="1" x14ac:dyDescent="0.2">
      <c r="A4" s="44" t="s">
        <v>17</v>
      </c>
      <c r="B4" s="50" t="s">
        <v>13</v>
      </c>
      <c r="C4" s="50" t="s">
        <v>14</v>
      </c>
      <c r="D4" s="135" t="s">
        <v>9</v>
      </c>
      <c r="E4" s="50" t="s">
        <v>22</v>
      </c>
      <c r="F4" s="50" t="s">
        <v>8</v>
      </c>
      <c r="G4" s="10" t="s">
        <v>7</v>
      </c>
      <c r="H4" s="10" t="s">
        <v>5</v>
      </c>
      <c r="I4" s="10" t="s">
        <v>6</v>
      </c>
      <c r="J4" s="11" t="s">
        <v>4</v>
      </c>
      <c r="K4" s="14" t="s">
        <v>28</v>
      </c>
      <c r="L4" s="14" t="s">
        <v>29</v>
      </c>
      <c r="M4" s="14" t="s">
        <v>1</v>
      </c>
      <c r="N4" s="14" t="s">
        <v>24</v>
      </c>
      <c r="O4" s="14" t="s">
        <v>25</v>
      </c>
      <c r="P4" s="12" t="s">
        <v>10</v>
      </c>
      <c r="Q4" s="12" t="s">
        <v>3</v>
      </c>
      <c r="R4" s="85" t="s">
        <v>0</v>
      </c>
    </row>
    <row r="5" spans="1:18" s="3" customFormat="1" ht="15.95" customHeight="1" x14ac:dyDescent="0.2">
      <c r="A5" s="86" t="s">
        <v>32</v>
      </c>
      <c r="B5" s="87" t="s">
        <v>31</v>
      </c>
      <c r="C5" s="87">
        <v>14220</v>
      </c>
      <c r="D5" s="87" t="s">
        <v>33</v>
      </c>
      <c r="E5" s="88">
        <f>P3</f>
        <v>7836</v>
      </c>
      <c r="F5" s="89"/>
      <c r="G5" s="4">
        <v>46152</v>
      </c>
      <c r="H5" s="5">
        <v>15</v>
      </c>
      <c r="I5" s="5"/>
      <c r="J5" s="5">
        <v>1</v>
      </c>
      <c r="K5" s="5">
        <v>30</v>
      </c>
      <c r="L5" s="5">
        <v>30</v>
      </c>
      <c r="M5" s="5">
        <v>45</v>
      </c>
      <c r="N5" s="5">
        <v>45</v>
      </c>
      <c r="O5" s="5">
        <v>30</v>
      </c>
      <c r="P5" s="6">
        <f>IF(G5="","",SUM(K5:O5))</f>
        <v>180</v>
      </c>
      <c r="Q5" s="7">
        <f>IF(P5="","",P5)</f>
        <v>180</v>
      </c>
      <c r="R5" s="79" t="s">
        <v>23</v>
      </c>
    </row>
    <row r="6" spans="1:18" ht="15.95" customHeight="1" x14ac:dyDescent="0.25">
      <c r="A6" s="47" t="s">
        <v>37</v>
      </c>
      <c r="B6" s="55"/>
      <c r="C6" s="9"/>
      <c r="D6" s="136" t="s">
        <v>42</v>
      </c>
      <c r="E6" s="56"/>
      <c r="F6" s="57"/>
      <c r="G6" s="8">
        <v>46153</v>
      </c>
      <c r="H6" s="9">
        <v>16</v>
      </c>
      <c r="I6" s="9"/>
      <c r="J6" s="9">
        <v>2</v>
      </c>
      <c r="K6" s="9">
        <v>32</v>
      </c>
      <c r="L6" s="9">
        <v>32</v>
      </c>
      <c r="M6" s="9">
        <v>48</v>
      </c>
      <c r="N6" s="9">
        <v>48</v>
      </c>
      <c r="O6" s="9">
        <v>32</v>
      </c>
      <c r="P6" s="6">
        <f>IF(G6="","",SUM(K6:O6))</f>
        <v>192</v>
      </c>
      <c r="Q6" s="6">
        <f>IF(P6="","",Q5+P6)</f>
        <v>372</v>
      </c>
      <c r="R6" s="42" t="s">
        <v>23</v>
      </c>
    </row>
    <row r="7" spans="1:18" ht="15.95" customHeight="1" x14ac:dyDescent="0.25">
      <c r="A7" s="47"/>
      <c r="B7" s="55"/>
      <c r="C7" s="9"/>
      <c r="D7" s="137"/>
      <c r="E7" s="56"/>
      <c r="F7" s="57"/>
      <c r="G7" s="8">
        <v>46154</v>
      </c>
      <c r="H7" s="9">
        <v>18</v>
      </c>
      <c r="I7" s="9"/>
      <c r="J7" s="9">
        <v>3</v>
      </c>
      <c r="K7" s="9">
        <v>36</v>
      </c>
      <c r="L7" s="9">
        <v>36</v>
      </c>
      <c r="M7" s="9">
        <f>18*3</f>
        <v>54</v>
      </c>
      <c r="N7" s="9">
        <f>18*3</f>
        <v>54</v>
      </c>
      <c r="O7" s="9">
        <v>36</v>
      </c>
      <c r="P7" s="6">
        <f>IF(G7="","",SUM(K7:O7))</f>
        <v>216</v>
      </c>
      <c r="Q7" s="6">
        <f t="shared" ref="Q7" si="0">IF(P7="","",Q6+P7)</f>
        <v>588</v>
      </c>
      <c r="R7" s="42" t="s">
        <v>23</v>
      </c>
    </row>
    <row r="8" spans="1:18" ht="15.95" customHeight="1" x14ac:dyDescent="0.25">
      <c r="A8" s="47"/>
      <c r="B8" s="55"/>
      <c r="C8" s="9"/>
      <c r="D8" s="136"/>
      <c r="E8" s="56"/>
      <c r="F8" s="57"/>
      <c r="G8" s="72">
        <v>46154</v>
      </c>
      <c r="H8" s="73">
        <v>18</v>
      </c>
      <c r="I8" s="73"/>
      <c r="J8" s="73">
        <v>4</v>
      </c>
      <c r="K8" s="9">
        <v>36</v>
      </c>
      <c r="L8" s="9">
        <v>36</v>
      </c>
      <c r="M8" s="9">
        <f>18*3</f>
        <v>54</v>
      </c>
      <c r="N8" s="9">
        <f>18*3</f>
        <v>54</v>
      </c>
      <c r="O8" s="9">
        <v>36</v>
      </c>
      <c r="P8" s="6">
        <f t="shared" ref="P8:P10" si="1">IF(G8="","",SUM(K8:O8))</f>
        <v>216</v>
      </c>
      <c r="Q8" s="6">
        <f t="shared" ref="Q8:Q10" si="2">IF(P8="","",Q7+P8)</f>
        <v>804</v>
      </c>
      <c r="R8" s="74" t="s">
        <v>23</v>
      </c>
    </row>
    <row r="9" spans="1:18" ht="15.95" customHeight="1" x14ac:dyDescent="0.25">
      <c r="A9" s="47"/>
      <c r="B9" s="55"/>
      <c r="C9" s="9"/>
      <c r="D9" s="136"/>
      <c r="E9" s="56"/>
      <c r="F9" s="57"/>
      <c r="G9" s="8">
        <v>46154</v>
      </c>
      <c r="H9" s="9">
        <v>18</v>
      </c>
      <c r="I9" s="9"/>
      <c r="J9" s="9">
        <v>5</v>
      </c>
      <c r="K9" s="9">
        <v>36</v>
      </c>
      <c r="L9" s="9">
        <v>36</v>
      </c>
      <c r="M9" s="9">
        <v>54</v>
      </c>
      <c r="N9" s="9">
        <v>54</v>
      </c>
      <c r="O9" s="9">
        <v>36</v>
      </c>
      <c r="P9" s="6">
        <f t="shared" si="1"/>
        <v>216</v>
      </c>
      <c r="Q9" s="6">
        <f t="shared" si="2"/>
        <v>1020</v>
      </c>
      <c r="R9" s="74" t="s">
        <v>23</v>
      </c>
    </row>
    <row r="10" spans="1:18" ht="15.95" customHeight="1" x14ac:dyDescent="0.25">
      <c r="A10" s="47"/>
      <c r="B10" s="55"/>
      <c r="C10" s="9"/>
      <c r="D10" s="136"/>
      <c r="E10" s="56"/>
      <c r="F10" s="57"/>
      <c r="G10" s="8">
        <v>46154</v>
      </c>
      <c r="H10" s="9">
        <v>18</v>
      </c>
      <c r="I10" s="9"/>
      <c r="J10" s="9">
        <v>6</v>
      </c>
      <c r="K10" s="9">
        <v>36</v>
      </c>
      <c r="L10" s="9">
        <v>36</v>
      </c>
      <c r="M10" s="9">
        <v>54</v>
      </c>
      <c r="N10" s="9">
        <v>54</v>
      </c>
      <c r="O10" s="9">
        <v>36</v>
      </c>
      <c r="P10" s="6">
        <f t="shared" si="1"/>
        <v>216</v>
      </c>
      <c r="Q10" s="6">
        <f t="shared" si="2"/>
        <v>1236</v>
      </c>
      <c r="R10" s="74" t="s">
        <v>23</v>
      </c>
    </row>
    <row r="11" spans="1:18" ht="15.95" customHeight="1" x14ac:dyDescent="0.25">
      <c r="A11" s="47"/>
      <c r="B11" s="55"/>
      <c r="C11" s="9"/>
      <c r="D11" s="136"/>
      <c r="E11" s="56"/>
      <c r="F11" s="57"/>
      <c r="G11" s="8">
        <v>46154</v>
      </c>
      <c r="H11" s="9">
        <v>18</v>
      </c>
      <c r="I11" s="9"/>
      <c r="J11" s="9">
        <v>7</v>
      </c>
      <c r="K11" s="9">
        <v>36</v>
      </c>
      <c r="L11" s="9">
        <v>36</v>
      </c>
      <c r="M11" s="9">
        <v>54</v>
      </c>
      <c r="N11" s="9">
        <v>54</v>
      </c>
      <c r="O11" s="9">
        <v>36</v>
      </c>
      <c r="P11" s="6">
        <f t="shared" ref="P11" si="3">IF(G11="","",SUM(K11:O11))</f>
        <v>216</v>
      </c>
      <c r="Q11" s="6">
        <f t="shared" ref="Q11" si="4">IF(P11="","",Q10+P11)</f>
        <v>1452</v>
      </c>
      <c r="R11" s="74" t="s">
        <v>23</v>
      </c>
    </row>
    <row r="12" spans="1:18" ht="15.95" customHeight="1" x14ac:dyDescent="0.25">
      <c r="A12" s="47"/>
      <c r="B12" s="55"/>
      <c r="C12" s="9"/>
      <c r="D12" s="136"/>
      <c r="E12" s="56"/>
      <c r="F12" s="57"/>
      <c r="G12" s="8">
        <v>46155</v>
      </c>
      <c r="H12" s="9">
        <v>18</v>
      </c>
      <c r="I12" s="9"/>
      <c r="J12" s="9">
        <v>8</v>
      </c>
      <c r="K12" s="9">
        <v>36</v>
      </c>
      <c r="L12" s="9">
        <v>36</v>
      </c>
      <c r="M12" s="9">
        <v>54</v>
      </c>
      <c r="N12" s="9">
        <v>54</v>
      </c>
      <c r="O12" s="9">
        <v>36</v>
      </c>
      <c r="P12" s="6">
        <f t="shared" ref="P12:P17" si="5">IF(G12="","",SUM(K12:O12))</f>
        <v>216</v>
      </c>
      <c r="Q12" s="6">
        <f t="shared" ref="Q12:Q17" si="6">IF(P12="","",Q11+P12)</f>
        <v>1668</v>
      </c>
      <c r="R12" s="74" t="s">
        <v>23</v>
      </c>
    </row>
    <row r="13" spans="1:18" ht="15.95" customHeight="1" x14ac:dyDescent="0.25">
      <c r="A13" s="47"/>
      <c r="B13" s="55"/>
      <c r="C13" s="9"/>
      <c r="D13" s="136"/>
      <c r="E13" s="56"/>
      <c r="F13" s="57"/>
      <c r="G13" s="8">
        <v>46155</v>
      </c>
      <c r="H13" s="9">
        <v>20</v>
      </c>
      <c r="I13" s="9"/>
      <c r="J13" s="9">
        <v>9</v>
      </c>
      <c r="K13" s="9">
        <f>20*2</f>
        <v>40</v>
      </c>
      <c r="L13" s="9">
        <f t="shared" ref="L13:O13" si="7">20*2</f>
        <v>40</v>
      </c>
      <c r="M13" s="9">
        <f>20*3</f>
        <v>60</v>
      </c>
      <c r="N13" s="9">
        <f>20*3</f>
        <v>60</v>
      </c>
      <c r="O13" s="9">
        <f t="shared" si="7"/>
        <v>40</v>
      </c>
      <c r="P13" s="6">
        <f t="shared" si="5"/>
        <v>240</v>
      </c>
      <c r="Q13" s="6">
        <f t="shared" si="6"/>
        <v>1908</v>
      </c>
      <c r="R13" s="74" t="s">
        <v>23</v>
      </c>
    </row>
    <row r="14" spans="1:18" ht="15.95" customHeight="1" x14ac:dyDescent="0.25">
      <c r="A14" s="47"/>
      <c r="B14" s="55"/>
      <c r="C14" s="9"/>
      <c r="D14" s="136"/>
      <c r="E14" s="56"/>
      <c r="F14" s="57"/>
      <c r="G14" s="8">
        <v>46156</v>
      </c>
      <c r="H14" s="9">
        <v>18</v>
      </c>
      <c r="I14" s="9"/>
      <c r="J14" s="9">
        <v>10</v>
      </c>
      <c r="K14" s="9">
        <v>36</v>
      </c>
      <c r="L14" s="9">
        <v>36</v>
      </c>
      <c r="M14" s="9">
        <f>18*3</f>
        <v>54</v>
      </c>
      <c r="N14" s="9">
        <f t="shared" ref="N14" si="8">18*3</f>
        <v>54</v>
      </c>
      <c r="O14" s="9">
        <f>18*2</f>
        <v>36</v>
      </c>
      <c r="P14" s="6">
        <f t="shared" si="5"/>
        <v>216</v>
      </c>
      <c r="Q14" s="6">
        <f t="shared" si="6"/>
        <v>2124</v>
      </c>
      <c r="R14" s="74" t="s">
        <v>23</v>
      </c>
    </row>
    <row r="15" spans="1:18" ht="15.95" customHeight="1" x14ac:dyDescent="0.25">
      <c r="A15" s="47"/>
      <c r="B15" s="55"/>
      <c r="C15" s="9"/>
      <c r="D15" s="136"/>
      <c r="E15" s="56"/>
      <c r="F15" s="57"/>
      <c r="G15" s="8">
        <v>46156</v>
      </c>
      <c r="H15" s="9">
        <v>20</v>
      </c>
      <c r="I15" s="9"/>
      <c r="J15" s="9">
        <v>11</v>
      </c>
      <c r="K15" s="9">
        <v>40</v>
      </c>
      <c r="L15" s="9">
        <v>40</v>
      </c>
      <c r="M15" s="9">
        <v>60</v>
      </c>
      <c r="N15" s="9">
        <v>60</v>
      </c>
      <c r="O15" s="9">
        <v>40</v>
      </c>
      <c r="P15" s="6">
        <f t="shared" si="5"/>
        <v>240</v>
      </c>
      <c r="Q15" s="6">
        <f t="shared" si="6"/>
        <v>2364</v>
      </c>
      <c r="R15" s="74" t="s">
        <v>23</v>
      </c>
    </row>
    <row r="16" spans="1:18" ht="15.95" customHeight="1" x14ac:dyDescent="0.25">
      <c r="A16" s="47"/>
      <c r="B16" s="55"/>
      <c r="C16" s="9"/>
      <c r="D16" s="136"/>
      <c r="E16" s="56"/>
      <c r="F16" s="57"/>
      <c r="G16" s="8">
        <v>46156</v>
      </c>
      <c r="H16" s="9">
        <v>20</v>
      </c>
      <c r="I16" s="9"/>
      <c r="J16" s="9">
        <v>12</v>
      </c>
      <c r="K16" s="9">
        <v>40</v>
      </c>
      <c r="L16" s="9">
        <v>40</v>
      </c>
      <c r="M16" s="9">
        <v>60</v>
      </c>
      <c r="N16" s="9">
        <v>60</v>
      </c>
      <c r="O16" s="9">
        <v>40</v>
      </c>
      <c r="P16" s="6">
        <f t="shared" si="5"/>
        <v>240</v>
      </c>
      <c r="Q16" s="6">
        <f t="shared" si="6"/>
        <v>2604</v>
      </c>
      <c r="R16" s="74" t="s">
        <v>23</v>
      </c>
    </row>
    <row r="17" spans="1:18" ht="15.95" customHeight="1" x14ac:dyDescent="0.25">
      <c r="A17" s="47"/>
      <c r="B17" s="55"/>
      <c r="C17" s="9"/>
      <c r="D17" s="136"/>
      <c r="E17" s="56"/>
      <c r="F17" s="57"/>
      <c r="G17" s="8">
        <v>46156</v>
      </c>
      <c r="H17" s="9">
        <v>20</v>
      </c>
      <c r="I17" s="9"/>
      <c r="J17" s="9">
        <v>13</v>
      </c>
      <c r="K17" s="9">
        <v>40</v>
      </c>
      <c r="L17" s="9">
        <v>40</v>
      </c>
      <c r="M17" s="9">
        <v>60</v>
      </c>
      <c r="N17" s="9">
        <v>60</v>
      </c>
      <c r="O17" s="9">
        <v>40</v>
      </c>
      <c r="P17" s="6">
        <f t="shared" si="5"/>
        <v>240</v>
      </c>
      <c r="Q17" s="6">
        <f t="shared" si="6"/>
        <v>2844</v>
      </c>
      <c r="R17" s="74" t="s">
        <v>23</v>
      </c>
    </row>
    <row r="18" spans="1:18" ht="15.95" customHeight="1" x14ac:dyDescent="0.25">
      <c r="A18" s="47"/>
      <c r="B18" s="55"/>
      <c r="C18" s="9"/>
      <c r="D18" s="136"/>
      <c r="E18" s="56"/>
      <c r="F18" s="57"/>
      <c r="G18" s="8">
        <v>46156</v>
      </c>
      <c r="H18" s="9">
        <v>20</v>
      </c>
      <c r="I18" s="9"/>
      <c r="J18" s="9">
        <v>14</v>
      </c>
      <c r="K18" s="9">
        <v>40</v>
      </c>
      <c r="L18" s="9">
        <v>40</v>
      </c>
      <c r="M18" s="9">
        <v>60</v>
      </c>
      <c r="N18" s="9">
        <v>60</v>
      </c>
      <c r="O18" s="9">
        <v>40</v>
      </c>
      <c r="P18" s="6">
        <f t="shared" ref="P18" si="9">IF(G18="","",SUM(K18:O18))</f>
        <v>240</v>
      </c>
      <c r="Q18" s="6">
        <f t="shared" ref="Q18" si="10">IF(P18="","",Q17+P18)</f>
        <v>3084</v>
      </c>
      <c r="R18" s="74" t="s">
        <v>23</v>
      </c>
    </row>
    <row r="19" spans="1:18" ht="15.95" customHeight="1" x14ac:dyDescent="0.25">
      <c r="A19" s="47"/>
      <c r="B19" s="55"/>
      <c r="C19" s="9"/>
      <c r="D19" s="136"/>
      <c r="E19" s="56"/>
      <c r="F19" s="57"/>
      <c r="G19" s="8">
        <v>46156</v>
      </c>
      <c r="H19" s="9">
        <v>20</v>
      </c>
      <c r="I19" s="9"/>
      <c r="J19" s="9">
        <v>15</v>
      </c>
      <c r="K19" s="9">
        <v>40</v>
      </c>
      <c r="L19" s="9">
        <v>40</v>
      </c>
      <c r="M19" s="9">
        <v>60</v>
      </c>
      <c r="N19" s="9">
        <v>60</v>
      </c>
      <c r="O19" s="9">
        <v>40</v>
      </c>
      <c r="P19" s="6">
        <f t="shared" ref="P19:P20" si="11">IF(G19="","",SUM(K19:O19))</f>
        <v>240</v>
      </c>
      <c r="Q19" s="6">
        <f t="shared" ref="Q19:Q20" si="12">IF(P19="","",Q18+P19)</f>
        <v>3324</v>
      </c>
      <c r="R19" s="74" t="s">
        <v>23</v>
      </c>
    </row>
    <row r="20" spans="1:18" ht="15.95" customHeight="1" x14ac:dyDescent="0.25">
      <c r="A20" s="47"/>
      <c r="B20" s="55"/>
      <c r="C20" s="9"/>
      <c r="D20" s="136"/>
      <c r="E20" s="56"/>
      <c r="F20" s="57"/>
      <c r="G20" s="8">
        <v>46158</v>
      </c>
      <c r="H20" s="9">
        <v>20</v>
      </c>
      <c r="I20" s="9"/>
      <c r="J20" s="9">
        <v>16</v>
      </c>
      <c r="K20" s="9">
        <v>40</v>
      </c>
      <c r="L20" s="9">
        <v>40</v>
      </c>
      <c r="M20" s="9">
        <v>60</v>
      </c>
      <c r="N20" s="9">
        <v>60</v>
      </c>
      <c r="O20" s="9">
        <v>40</v>
      </c>
      <c r="P20" s="6">
        <f t="shared" si="11"/>
        <v>240</v>
      </c>
      <c r="Q20" s="6">
        <f t="shared" si="12"/>
        <v>3564</v>
      </c>
      <c r="R20" s="74" t="s">
        <v>23</v>
      </c>
    </row>
    <row r="21" spans="1:18" ht="15.95" customHeight="1" x14ac:dyDescent="0.25">
      <c r="A21" s="47"/>
      <c r="B21" s="55"/>
      <c r="C21" s="9"/>
      <c r="D21" s="136"/>
      <c r="E21" s="56"/>
      <c r="F21" s="57"/>
      <c r="G21" s="8">
        <v>46158</v>
      </c>
      <c r="H21" s="9">
        <v>20</v>
      </c>
      <c r="I21" s="9"/>
      <c r="J21" s="9">
        <v>17</v>
      </c>
      <c r="K21" s="9">
        <v>40</v>
      </c>
      <c r="L21" s="9">
        <v>40</v>
      </c>
      <c r="M21" s="9">
        <v>60</v>
      </c>
      <c r="N21" s="9">
        <v>60</v>
      </c>
      <c r="O21" s="9">
        <v>40</v>
      </c>
      <c r="P21" s="6">
        <f t="shared" ref="P21:P22" si="13">IF(G21="","",SUM(K21:O21))</f>
        <v>240</v>
      </c>
      <c r="Q21" s="6">
        <f t="shared" ref="Q21:Q22" si="14">IF(P21="","",Q20+P21)</f>
        <v>3804</v>
      </c>
      <c r="R21" s="74" t="s">
        <v>23</v>
      </c>
    </row>
    <row r="22" spans="1:18" ht="15.95" customHeight="1" x14ac:dyDescent="0.25">
      <c r="A22" s="47"/>
      <c r="B22" s="55"/>
      <c r="C22" s="9"/>
      <c r="D22" s="136"/>
      <c r="E22" s="56"/>
      <c r="F22" s="57"/>
      <c r="G22" s="8">
        <v>46158</v>
      </c>
      <c r="H22" s="9">
        <v>20</v>
      </c>
      <c r="I22" s="9"/>
      <c r="J22" s="9">
        <v>18</v>
      </c>
      <c r="K22" s="9">
        <v>40</v>
      </c>
      <c r="L22" s="9">
        <v>40</v>
      </c>
      <c r="M22" s="9">
        <v>60</v>
      </c>
      <c r="N22" s="9">
        <v>60</v>
      </c>
      <c r="O22" s="9">
        <v>40</v>
      </c>
      <c r="P22" s="6">
        <f t="shared" si="13"/>
        <v>240</v>
      </c>
      <c r="Q22" s="6">
        <f t="shared" si="14"/>
        <v>4044</v>
      </c>
      <c r="R22" s="74" t="s">
        <v>23</v>
      </c>
    </row>
    <row r="23" spans="1:18" ht="15.95" customHeight="1" x14ac:dyDescent="0.25">
      <c r="A23" s="47"/>
      <c r="B23" s="55"/>
      <c r="C23" s="9"/>
      <c r="D23" s="136"/>
      <c r="E23" s="56"/>
      <c r="F23" s="57"/>
      <c r="G23" s="8">
        <v>46158</v>
      </c>
      <c r="H23" s="9">
        <v>20</v>
      </c>
      <c r="I23" s="9"/>
      <c r="J23" s="9">
        <v>19</v>
      </c>
      <c r="K23" s="9">
        <v>40</v>
      </c>
      <c r="L23" s="9">
        <v>40</v>
      </c>
      <c r="M23" s="9">
        <v>60</v>
      </c>
      <c r="N23" s="9">
        <v>60</v>
      </c>
      <c r="O23" s="9">
        <v>40</v>
      </c>
      <c r="P23" s="6">
        <f t="shared" ref="P23" si="15">IF(G23="","",SUM(K23:O23))</f>
        <v>240</v>
      </c>
      <c r="Q23" s="6">
        <f t="shared" ref="Q23" si="16">IF(P23="","",Q22+P23)</f>
        <v>4284</v>
      </c>
      <c r="R23" s="74" t="s">
        <v>23</v>
      </c>
    </row>
    <row r="24" spans="1:18" ht="15.95" customHeight="1" x14ac:dyDescent="0.25">
      <c r="A24" s="47"/>
      <c r="B24" s="55"/>
      <c r="C24" s="9"/>
      <c r="D24" s="136"/>
      <c r="E24" s="56"/>
      <c r="F24" s="57"/>
      <c r="G24" s="8">
        <v>46159</v>
      </c>
      <c r="H24" s="9">
        <v>20</v>
      </c>
      <c r="I24" s="9"/>
      <c r="J24" s="9">
        <v>20</v>
      </c>
      <c r="K24" s="9">
        <v>40</v>
      </c>
      <c r="L24" s="9">
        <v>40</v>
      </c>
      <c r="M24" s="9">
        <v>60</v>
      </c>
      <c r="N24" s="9">
        <v>60</v>
      </c>
      <c r="O24" s="9">
        <v>40</v>
      </c>
      <c r="P24" s="6">
        <f t="shared" ref="P24" si="17">IF(G24="","",SUM(K24:O24))</f>
        <v>240</v>
      </c>
      <c r="Q24" s="6">
        <f t="shared" ref="Q24" si="18">IF(P24="","",Q23+P24)</f>
        <v>4524</v>
      </c>
      <c r="R24" s="74" t="s">
        <v>23</v>
      </c>
    </row>
    <row r="25" spans="1:18" ht="15.95" customHeight="1" x14ac:dyDescent="0.25">
      <c r="A25" s="47"/>
      <c r="B25" s="55"/>
      <c r="C25" s="9"/>
      <c r="D25" s="136"/>
      <c r="E25" s="56"/>
      <c r="F25" s="57"/>
      <c r="G25" s="8">
        <v>46159</v>
      </c>
      <c r="H25" s="9">
        <v>20</v>
      </c>
      <c r="I25" s="9"/>
      <c r="J25" s="9">
        <v>21</v>
      </c>
      <c r="K25" s="9">
        <v>40</v>
      </c>
      <c r="L25" s="9">
        <v>40</v>
      </c>
      <c r="M25" s="9">
        <v>60</v>
      </c>
      <c r="N25" s="9">
        <v>60</v>
      </c>
      <c r="O25" s="9">
        <v>40</v>
      </c>
      <c r="P25" s="6">
        <f t="shared" ref="P25:P26" si="19">IF(G25="","",SUM(K25:O25))</f>
        <v>240</v>
      </c>
      <c r="Q25" s="6">
        <f t="shared" ref="Q25:Q26" si="20">IF(P25="","",Q24+P25)</f>
        <v>4764</v>
      </c>
      <c r="R25" s="74" t="s">
        <v>23</v>
      </c>
    </row>
    <row r="26" spans="1:18" ht="15.95" customHeight="1" x14ac:dyDescent="0.25">
      <c r="A26" s="47"/>
      <c r="B26" s="55"/>
      <c r="C26" s="9"/>
      <c r="D26" s="136"/>
      <c r="E26" s="56"/>
      <c r="F26" s="57"/>
      <c r="G26" s="8">
        <v>46159</v>
      </c>
      <c r="H26" s="9">
        <v>20</v>
      </c>
      <c r="I26" s="9"/>
      <c r="J26" s="9">
        <v>22</v>
      </c>
      <c r="K26" s="9">
        <v>40</v>
      </c>
      <c r="L26" s="9">
        <v>40</v>
      </c>
      <c r="M26" s="9">
        <v>60</v>
      </c>
      <c r="N26" s="9">
        <v>60</v>
      </c>
      <c r="O26" s="9">
        <v>40</v>
      </c>
      <c r="P26" s="6">
        <f t="shared" si="19"/>
        <v>240</v>
      </c>
      <c r="Q26" s="6">
        <f t="shared" si="20"/>
        <v>5004</v>
      </c>
      <c r="R26" s="74" t="s">
        <v>23</v>
      </c>
    </row>
    <row r="27" spans="1:18" ht="15.95" customHeight="1" x14ac:dyDescent="0.25">
      <c r="A27" s="47"/>
      <c r="B27" s="55"/>
      <c r="C27" s="9"/>
      <c r="D27" s="136"/>
      <c r="E27" s="56"/>
      <c r="F27" s="57"/>
      <c r="G27" s="8">
        <v>46160</v>
      </c>
      <c r="H27" s="9">
        <v>20</v>
      </c>
      <c r="I27" s="9"/>
      <c r="J27" s="9">
        <v>23</v>
      </c>
      <c r="K27" s="9">
        <v>40</v>
      </c>
      <c r="L27" s="9">
        <v>40</v>
      </c>
      <c r="M27" s="9">
        <v>60</v>
      </c>
      <c r="N27" s="9">
        <v>60</v>
      </c>
      <c r="O27" s="9">
        <v>40</v>
      </c>
      <c r="P27" s="6">
        <f t="shared" ref="P27:P28" si="21">IF(G27="","",SUM(K27:O27))</f>
        <v>240</v>
      </c>
      <c r="Q27" s="6">
        <f t="shared" ref="Q27:Q28" si="22">IF(P27="","",Q26+P27)</f>
        <v>5244</v>
      </c>
      <c r="R27" s="74" t="s">
        <v>23</v>
      </c>
    </row>
    <row r="28" spans="1:18" ht="15.95" customHeight="1" x14ac:dyDescent="0.25">
      <c r="A28" s="47"/>
      <c r="B28" s="55"/>
      <c r="C28" s="9"/>
      <c r="D28" s="136"/>
      <c r="E28" s="56"/>
      <c r="F28" s="57"/>
      <c r="G28" s="8">
        <v>46160</v>
      </c>
      <c r="H28" s="9">
        <v>20</v>
      </c>
      <c r="I28" s="9"/>
      <c r="J28" s="9">
        <v>24</v>
      </c>
      <c r="K28" s="9">
        <v>40</v>
      </c>
      <c r="L28" s="9">
        <v>40</v>
      </c>
      <c r="M28" s="9">
        <v>60</v>
      </c>
      <c r="N28" s="9">
        <v>60</v>
      </c>
      <c r="O28" s="9">
        <v>40</v>
      </c>
      <c r="P28" s="6">
        <f t="shared" si="21"/>
        <v>240</v>
      </c>
      <c r="Q28" s="6">
        <f t="shared" si="22"/>
        <v>5484</v>
      </c>
      <c r="R28" s="74" t="s">
        <v>23</v>
      </c>
    </row>
    <row r="29" spans="1:18" ht="15.95" customHeight="1" x14ac:dyDescent="0.25">
      <c r="A29" s="47"/>
      <c r="B29" s="55"/>
      <c r="C29" s="9"/>
      <c r="D29" s="136"/>
      <c r="E29" s="56"/>
      <c r="F29" s="57"/>
      <c r="G29" s="8">
        <v>46160</v>
      </c>
      <c r="H29" s="9">
        <v>20</v>
      </c>
      <c r="I29" s="9"/>
      <c r="J29" s="9">
        <v>25</v>
      </c>
      <c r="K29" s="9">
        <v>40</v>
      </c>
      <c r="L29" s="9">
        <v>40</v>
      </c>
      <c r="M29" s="9">
        <v>60</v>
      </c>
      <c r="N29" s="9">
        <v>60</v>
      </c>
      <c r="O29" s="9">
        <v>40</v>
      </c>
      <c r="P29" s="6">
        <f t="shared" ref="P29" si="23">IF(G29="","",SUM(K29:O29))</f>
        <v>240</v>
      </c>
      <c r="Q29" s="6">
        <f t="shared" ref="Q29" si="24">IF(P29="","",Q28+P29)</f>
        <v>5724</v>
      </c>
      <c r="R29" s="74" t="s">
        <v>23</v>
      </c>
    </row>
    <row r="30" spans="1:18" ht="15.95" customHeight="1" x14ac:dyDescent="0.25">
      <c r="A30" s="47"/>
      <c r="B30" s="55"/>
      <c r="C30" s="9"/>
      <c r="D30" s="136"/>
      <c r="E30" s="56"/>
      <c r="F30" s="57"/>
      <c r="G30" s="8">
        <v>46161</v>
      </c>
      <c r="H30" s="9">
        <v>20</v>
      </c>
      <c r="I30" s="9"/>
      <c r="J30" s="9">
        <v>26</v>
      </c>
      <c r="K30" s="9">
        <v>40</v>
      </c>
      <c r="L30" s="9">
        <v>40</v>
      </c>
      <c r="M30" s="9">
        <v>60</v>
      </c>
      <c r="N30" s="9">
        <v>60</v>
      </c>
      <c r="O30" s="9">
        <v>40</v>
      </c>
      <c r="P30" s="6">
        <f t="shared" ref="P30" si="25">IF(G30="","",SUM(K30:O30))</f>
        <v>240</v>
      </c>
      <c r="Q30" s="6">
        <f t="shared" ref="Q30" si="26">IF(P30="","",Q29+P30)</f>
        <v>5964</v>
      </c>
      <c r="R30" s="74" t="s">
        <v>23</v>
      </c>
    </row>
    <row r="31" spans="1:18" ht="15.95" customHeight="1" x14ac:dyDescent="0.25">
      <c r="A31" s="47"/>
      <c r="B31" s="55"/>
      <c r="C31" s="9"/>
      <c r="D31" s="136"/>
      <c r="E31" s="56"/>
      <c r="F31" s="57"/>
      <c r="G31" s="8">
        <v>46161</v>
      </c>
      <c r="H31" s="9">
        <v>20</v>
      </c>
      <c r="I31" s="9"/>
      <c r="J31" s="9">
        <v>27</v>
      </c>
      <c r="K31" s="9">
        <v>40</v>
      </c>
      <c r="L31" s="9">
        <v>40</v>
      </c>
      <c r="M31" s="9">
        <v>60</v>
      </c>
      <c r="N31" s="9">
        <v>60</v>
      </c>
      <c r="O31" s="9">
        <v>40</v>
      </c>
      <c r="P31" s="6">
        <f t="shared" ref="P31:P35" si="27">IF(G31="","",SUM(K31:O31))</f>
        <v>240</v>
      </c>
      <c r="Q31" s="6">
        <f t="shared" ref="Q31:Q35" si="28">IF(P31="","",Q30+P31)</f>
        <v>6204</v>
      </c>
      <c r="R31" s="74" t="s">
        <v>23</v>
      </c>
    </row>
    <row r="32" spans="1:18" ht="15.95" customHeight="1" x14ac:dyDescent="0.25">
      <c r="A32" s="47"/>
      <c r="B32" s="55"/>
      <c r="C32" s="9"/>
      <c r="D32" s="136"/>
      <c r="E32" s="56"/>
      <c r="F32" s="57"/>
      <c r="G32" s="8">
        <v>46161</v>
      </c>
      <c r="H32" s="9">
        <v>20</v>
      </c>
      <c r="I32" s="9"/>
      <c r="J32" s="9">
        <v>28</v>
      </c>
      <c r="K32" s="9">
        <v>40</v>
      </c>
      <c r="L32" s="9">
        <v>40</v>
      </c>
      <c r="M32" s="9">
        <v>60</v>
      </c>
      <c r="N32" s="9">
        <v>60</v>
      </c>
      <c r="O32" s="9">
        <v>40</v>
      </c>
      <c r="P32" s="6">
        <f t="shared" si="27"/>
        <v>240</v>
      </c>
      <c r="Q32" s="6">
        <f t="shared" si="28"/>
        <v>6444</v>
      </c>
      <c r="R32" s="74" t="s">
        <v>23</v>
      </c>
    </row>
    <row r="33" spans="1:18" ht="15.95" customHeight="1" x14ac:dyDescent="0.25">
      <c r="A33" s="47"/>
      <c r="B33" s="55"/>
      <c r="C33" s="9"/>
      <c r="D33" s="136"/>
      <c r="E33" s="56"/>
      <c r="F33" s="57"/>
      <c r="G33" s="8">
        <v>46161</v>
      </c>
      <c r="H33" s="9">
        <v>20</v>
      </c>
      <c r="I33" s="9"/>
      <c r="J33" s="9">
        <v>29</v>
      </c>
      <c r="K33" s="9">
        <v>40</v>
      </c>
      <c r="L33" s="9">
        <v>40</v>
      </c>
      <c r="M33" s="9">
        <v>60</v>
      </c>
      <c r="N33" s="9">
        <v>60</v>
      </c>
      <c r="O33" s="9">
        <v>40</v>
      </c>
      <c r="P33" s="6">
        <f t="shared" ref="P33" si="29">IF(G33="","",SUM(K33:O33))</f>
        <v>240</v>
      </c>
      <c r="Q33" s="6">
        <f t="shared" ref="Q33" si="30">IF(P33="","",Q32+P33)</f>
        <v>6684</v>
      </c>
      <c r="R33" s="74" t="s">
        <v>23</v>
      </c>
    </row>
    <row r="34" spans="1:18" ht="15.95" customHeight="1" x14ac:dyDescent="0.25">
      <c r="A34" s="47"/>
      <c r="B34" s="55"/>
      <c r="C34" s="9"/>
      <c r="D34" s="136"/>
      <c r="E34" s="56"/>
      <c r="F34" s="57"/>
      <c r="G34" s="72">
        <v>46162</v>
      </c>
      <c r="H34" s="73">
        <v>20</v>
      </c>
      <c r="I34" s="73"/>
      <c r="J34" s="73">
        <v>30</v>
      </c>
      <c r="K34" s="73">
        <v>40</v>
      </c>
      <c r="L34" s="73">
        <v>40</v>
      </c>
      <c r="M34" s="73">
        <v>60</v>
      </c>
      <c r="N34" s="73">
        <v>60</v>
      </c>
      <c r="O34" s="73">
        <v>40</v>
      </c>
      <c r="P34" s="78">
        <f t="shared" si="27"/>
        <v>240</v>
      </c>
      <c r="Q34" s="78">
        <f t="shared" si="28"/>
        <v>6924</v>
      </c>
      <c r="R34" s="74" t="s">
        <v>23</v>
      </c>
    </row>
    <row r="35" spans="1:18" ht="15.95" customHeight="1" x14ac:dyDescent="0.25">
      <c r="A35" s="47"/>
      <c r="B35" s="55"/>
      <c r="C35" s="9"/>
      <c r="D35" s="136"/>
      <c r="E35" s="56"/>
      <c r="F35" s="57"/>
      <c r="G35" s="72">
        <v>46162</v>
      </c>
      <c r="H35" s="73">
        <v>20</v>
      </c>
      <c r="I35" s="73"/>
      <c r="J35" s="73">
        <v>31</v>
      </c>
      <c r="K35" s="73">
        <v>40</v>
      </c>
      <c r="L35" s="73">
        <v>40</v>
      </c>
      <c r="M35" s="73">
        <v>60</v>
      </c>
      <c r="N35" s="73">
        <v>60</v>
      </c>
      <c r="O35" s="73">
        <v>40</v>
      </c>
      <c r="P35" s="78">
        <f t="shared" si="27"/>
        <v>240</v>
      </c>
      <c r="Q35" s="78">
        <f t="shared" si="28"/>
        <v>7164</v>
      </c>
      <c r="R35" s="74" t="s">
        <v>23</v>
      </c>
    </row>
    <row r="36" spans="1:18" ht="15.95" customHeight="1" x14ac:dyDescent="0.25">
      <c r="A36" s="47"/>
      <c r="B36" s="55"/>
      <c r="C36" s="9"/>
      <c r="D36" s="136"/>
      <c r="E36" s="56"/>
      <c r="F36" s="57"/>
      <c r="G36" s="72">
        <v>46162</v>
      </c>
      <c r="H36" s="73">
        <v>20</v>
      </c>
      <c r="I36" s="73"/>
      <c r="J36" s="73">
        <v>32</v>
      </c>
      <c r="K36" s="73">
        <v>40</v>
      </c>
      <c r="L36" s="73">
        <v>40</v>
      </c>
      <c r="M36" s="73">
        <v>60</v>
      </c>
      <c r="N36" s="73">
        <v>60</v>
      </c>
      <c r="O36" s="73">
        <v>40</v>
      </c>
      <c r="P36" s="78">
        <f t="shared" ref="P36" si="31">IF(G36="","",SUM(K36:O36))</f>
        <v>240</v>
      </c>
      <c r="Q36" s="78">
        <f t="shared" ref="Q36" si="32">IF(P36="","",Q35+P36)</f>
        <v>7404</v>
      </c>
      <c r="R36" s="74" t="s">
        <v>23</v>
      </c>
    </row>
    <row r="37" spans="1:18" ht="15.95" customHeight="1" x14ac:dyDescent="0.25">
      <c r="A37" s="47"/>
      <c r="B37" s="55"/>
      <c r="C37" s="9"/>
      <c r="D37" s="136"/>
      <c r="E37" s="56"/>
      <c r="F37" s="57"/>
      <c r="G37" s="72">
        <v>46162</v>
      </c>
      <c r="H37" s="73">
        <v>22</v>
      </c>
      <c r="I37" s="73"/>
      <c r="J37" s="73">
        <v>33</v>
      </c>
      <c r="K37" s="73">
        <v>44</v>
      </c>
      <c r="L37" s="73">
        <v>44</v>
      </c>
      <c r="M37" s="73">
        <v>66</v>
      </c>
      <c r="N37" s="73">
        <v>66</v>
      </c>
      <c r="O37" s="73">
        <v>44</v>
      </c>
      <c r="P37" s="78">
        <f t="shared" ref="P37:P39" si="33">IF(G37="","",SUM(K37:O37))</f>
        <v>264</v>
      </c>
      <c r="Q37" s="78">
        <f t="shared" ref="Q37:Q39" si="34">IF(P37="","",Q36+P37)</f>
        <v>7668</v>
      </c>
      <c r="R37" s="74" t="s">
        <v>23</v>
      </c>
    </row>
    <row r="38" spans="1:18" ht="15.95" customHeight="1" x14ac:dyDescent="0.25">
      <c r="A38" s="47"/>
      <c r="B38" s="55"/>
      <c r="C38" s="9"/>
      <c r="D38" s="136"/>
      <c r="E38" s="56"/>
      <c r="F38" s="57"/>
      <c r="G38" s="72">
        <v>46162</v>
      </c>
      <c r="H38" s="73">
        <v>21</v>
      </c>
      <c r="I38" s="73"/>
      <c r="J38" s="73">
        <v>34</v>
      </c>
      <c r="K38" s="73">
        <v>42</v>
      </c>
      <c r="L38" s="73">
        <v>42</v>
      </c>
      <c r="M38" s="73">
        <v>63</v>
      </c>
      <c r="N38" s="73">
        <v>63</v>
      </c>
      <c r="O38" s="73">
        <v>42</v>
      </c>
      <c r="P38" s="78">
        <f t="shared" si="33"/>
        <v>252</v>
      </c>
      <c r="Q38" s="78">
        <f t="shared" si="34"/>
        <v>7920</v>
      </c>
      <c r="R38" s="74" t="s">
        <v>23</v>
      </c>
    </row>
    <row r="39" spans="1:18" ht="15.95" customHeight="1" thickBot="1" x14ac:dyDescent="0.3">
      <c r="A39" s="47"/>
      <c r="B39" s="55"/>
      <c r="C39" s="9"/>
      <c r="D39" s="136"/>
      <c r="E39" s="56"/>
      <c r="F39" s="57"/>
      <c r="G39" s="72"/>
      <c r="H39" s="73"/>
      <c r="I39" s="73"/>
      <c r="J39" s="73"/>
      <c r="K39" s="73"/>
      <c r="L39" s="73"/>
      <c r="M39" s="73"/>
      <c r="N39" s="73"/>
      <c r="O39" s="73"/>
      <c r="P39" s="78" t="str">
        <f t="shared" si="33"/>
        <v/>
      </c>
      <c r="Q39" s="78" t="str">
        <f t="shared" si="34"/>
        <v/>
      </c>
      <c r="R39" s="74"/>
    </row>
    <row r="40" spans="1:18" ht="19.5" customHeight="1" thickBot="1" x14ac:dyDescent="0.3">
      <c r="A40" s="48"/>
      <c r="B40" s="58"/>
      <c r="C40" s="58"/>
      <c r="D40" s="138"/>
      <c r="E40" s="59"/>
      <c r="F40" s="58"/>
      <c r="G40" s="19"/>
      <c r="H40" s="20"/>
      <c r="I40" s="21"/>
      <c r="J40" s="22" t="s">
        <v>11</v>
      </c>
      <c r="K40" s="38">
        <f>SUM(K5:K39)</f>
        <v>1320</v>
      </c>
      <c r="L40" s="38">
        <f>SUM(L5:L39)</f>
        <v>1320</v>
      </c>
      <c r="M40" s="38">
        <f>SUM(M5:M39)</f>
        <v>1980</v>
      </c>
      <c r="N40" s="38">
        <f>SUM(N5:N39)</f>
        <v>1980</v>
      </c>
      <c r="O40" s="38">
        <f>SUM(O5:O39)</f>
        <v>1320</v>
      </c>
      <c r="P40" s="38">
        <f>SUM(K40:O40)</f>
        <v>7920</v>
      </c>
      <c r="Q40" s="23"/>
      <c r="R40" s="82"/>
    </row>
    <row r="41" spans="1:18" ht="18.75" customHeight="1" thickBot="1" x14ac:dyDescent="0.3">
      <c r="A41" s="49"/>
      <c r="B41" s="60"/>
      <c r="C41" s="60"/>
      <c r="D41" s="139"/>
      <c r="E41" s="60"/>
      <c r="F41" s="60"/>
      <c r="G41" s="24"/>
      <c r="H41" s="24"/>
      <c r="I41" s="25"/>
      <c r="J41" s="26" t="s">
        <v>12</v>
      </c>
      <c r="K41" s="39">
        <f>IF(K3="","",K40-K3)</f>
        <v>14</v>
      </c>
      <c r="L41" s="39">
        <f>IF(L3="","",L40-L3)</f>
        <v>14</v>
      </c>
      <c r="M41" s="39">
        <f>IF(M3="","",M40-M3)</f>
        <v>21</v>
      </c>
      <c r="N41" s="39">
        <f>IF(N3="","",N40-N3)</f>
        <v>21</v>
      </c>
      <c r="O41" s="39">
        <f>IF(O3="","",O40-O3)</f>
        <v>14</v>
      </c>
      <c r="P41" s="39">
        <f>SUM(K41:O41)</f>
        <v>84</v>
      </c>
      <c r="Q41" s="27"/>
      <c r="R41" s="83"/>
    </row>
    <row r="42" spans="1:18" ht="15.75" customHeight="1" x14ac:dyDescent="0.25">
      <c r="I42"/>
      <c r="J42" s="70">
        <v>28</v>
      </c>
      <c r="K42" s="70">
        <f t="shared" ref="K42:P42" si="35">SUM(K5:K32)</f>
        <v>1074</v>
      </c>
      <c r="L42" s="70">
        <f t="shared" si="35"/>
        <v>1074</v>
      </c>
      <c r="M42" s="70">
        <f t="shared" si="35"/>
        <v>1611</v>
      </c>
      <c r="N42" s="70">
        <f t="shared" si="35"/>
        <v>1611</v>
      </c>
      <c r="O42" s="70">
        <f t="shared" si="35"/>
        <v>1074</v>
      </c>
      <c r="P42" s="70">
        <f t="shared" si="35"/>
        <v>6444</v>
      </c>
      <c r="Q42" s="29"/>
    </row>
    <row r="43" spans="1:18" s="1" customFormat="1" ht="18.75" customHeight="1" thickBot="1" x14ac:dyDescent="0.35">
      <c r="A43" s="46"/>
      <c r="B43" s="41"/>
      <c r="C43" s="41"/>
      <c r="D43" s="133"/>
      <c r="E43" s="41"/>
      <c r="F43" s="41"/>
      <c r="I43" s="90" t="s">
        <v>26</v>
      </c>
      <c r="K43" s="30"/>
      <c r="L43" s="30"/>
      <c r="M43" s="30"/>
      <c r="N43" s="30"/>
      <c r="O43" s="30"/>
      <c r="P43" s="30"/>
      <c r="Q43" s="30"/>
      <c r="R43" s="81"/>
    </row>
    <row r="44" spans="1:18" s="2" customFormat="1" ht="27.75" customHeight="1" thickBot="1" x14ac:dyDescent="0.25">
      <c r="A44" s="91"/>
      <c r="B44" s="51"/>
      <c r="C44" s="51"/>
      <c r="D44" s="134"/>
      <c r="E44" s="52"/>
      <c r="F44" s="53"/>
      <c r="G44" s="15"/>
      <c r="H44" s="15"/>
      <c r="I44" s="15"/>
      <c r="J44" s="16" t="s">
        <v>16</v>
      </c>
      <c r="K44" s="17">
        <v>2828</v>
      </c>
      <c r="L44" s="17">
        <v>2828</v>
      </c>
      <c r="M44" s="17">
        <v>4242</v>
      </c>
      <c r="N44" s="17">
        <v>4242</v>
      </c>
      <c r="O44" s="17">
        <v>2828</v>
      </c>
      <c r="P44" s="18">
        <f>SUM(K44:O44)</f>
        <v>16968</v>
      </c>
      <c r="Q44" s="37"/>
      <c r="R44" s="76"/>
    </row>
    <row r="45" spans="1:18" s="13" customFormat="1" ht="31.5" customHeight="1" thickBot="1" x14ac:dyDescent="0.2">
      <c r="A45" s="44" t="s">
        <v>17</v>
      </c>
      <c r="B45" s="50" t="s">
        <v>13</v>
      </c>
      <c r="C45" s="50" t="s">
        <v>14</v>
      </c>
      <c r="D45" s="135" t="s">
        <v>9</v>
      </c>
      <c r="E45" s="50" t="s">
        <v>22</v>
      </c>
      <c r="F45" s="50" t="s">
        <v>8</v>
      </c>
      <c r="G45" s="10" t="s">
        <v>7</v>
      </c>
      <c r="H45" s="10" t="s">
        <v>5</v>
      </c>
      <c r="I45" s="10" t="s">
        <v>6</v>
      </c>
      <c r="J45" s="11" t="s">
        <v>4</v>
      </c>
      <c r="K45" s="14" t="s">
        <v>28</v>
      </c>
      <c r="L45" s="14" t="s">
        <v>29</v>
      </c>
      <c r="M45" s="14" t="s">
        <v>1</v>
      </c>
      <c r="N45" s="14" t="s">
        <v>24</v>
      </c>
      <c r="O45" s="14" t="s">
        <v>25</v>
      </c>
      <c r="P45" s="12" t="s">
        <v>10</v>
      </c>
      <c r="Q45" s="12" t="s">
        <v>3</v>
      </c>
      <c r="R45" s="85" t="s">
        <v>0</v>
      </c>
    </row>
    <row r="46" spans="1:18" s="3" customFormat="1" ht="15.95" customHeight="1" x14ac:dyDescent="0.2">
      <c r="A46" s="86" t="s">
        <v>32</v>
      </c>
      <c r="B46" s="87" t="s">
        <v>31</v>
      </c>
      <c r="C46" s="87">
        <v>14222</v>
      </c>
      <c r="D46" s="87" t="s">
        <v>33</v>
      </c>
      <c r="E46" s="88">
        <f>P44</f>
        <v>16968</v>
      </c>
      <c r="F46" s="89"/>
      <c r="G46" s="4">
        <v>46162</v>
      </c>
      <c r="H46" s="5">
        <v>22</v>
      </c>
      <c r="I46" s="5"/>
      <c r="J46" s="5">
        <v>35</v>
      </c>
      <c r="K46" s="5">
        <f>22*2</f>
        <v>44</v>
      </c>
      <c r="L46" s="5">
        <f t="shared" ref="L46:O46" si="36">22*2</f>
        <v>44</v>
      </c>
      <c r="M46" s="5">
        <f>22*3</f>
        <v>66</v>
      </c>
      <c r="N46" s="5">
        <f>22*3</f>
        <v>66</v>
      </c>
      <c r="O46" s="5">
        <f t="shared" si="36"/>
        <v>44</v>
      </c>
      <c r="P46" s="6">
        <f>IF(G46="","",SUM(K46:O46))</f>
        <v>264</v>
      </c>
      <c r="Q46" s="7">
        <f>IF(P46="","",P46)</f>
        <v>264</v>
      </c>
      <c r="R46" s="79" t="s">
        <v>23</v>
      </c>
    </row>
    <row r="47" spans="1:18" ht="15.95" customHeight="1" x14ac:dyDescent="0.25">
      <c r="A47" s="47" t="s">
        <v>37</v>
      </c>
      <c r="B47" s="55"/>
      <c r="C47" s="9"/>
      <c r="D47" s="136" t="s">
        <v>42</v>
      </c>
      <c r="E47" s="56"/>
      <c r="F47" s="57"/>
      <c r="G47" s="8">
        <v>43971</v>
      </c>
      <c r="H47" s="9">
        <v>20</v>
      </c>
      <c r="I47" s="9"/>
      <c r="J47" s="9">
        <v>36</v>
      </c>
      <c r="K47" s="9">
        <v>40</v>
      </c>
      <c r="L47" s="9">
        <v>40</v>
      </c>
      <c r="M47" s="9">
        <v>60</v>
      </c>
      <c r="N47" s="9">
        <v>60</v>
      </c>
      <c r="O47" s="9">
        <v>40</v>
      </c>
      <c r="P47" s="6">
        <f>IF(G47="","",SUM(K47:O47))</f>
        <v>240</v>
      </c>
      <c r="Q47" s="6">
        <f>IF(P47="","",Q46+P47)</f>
        <v>504</v>
      </c>
      <c r="R47" s="42" t="s">
        <v>23</v>
      </c>
    </row>
    <row r="48" spans="1:18" ht="15.95" customHeight="1" x14ac:dyDescent="0.25">
      <c r="A48" s="47"/>
      <c r="B48" s="55"/>
      <c r="C48" s="9"/>
      <c r="D48" s="137"/>
      <c r="E48" s="56"/>
      <c r="F48" s="57"/>
      <c r="G48" s="8">
        <v>46163</v>
      </c>
      <c r="H48" s="9">
        <v>20</v>
      </c>
      <c r="I48" s="9"/>
      <c r="J48" s="9">
        <v>37</v>
      </c>
      <c r="K48" s="9">
        <v>40</v>
      </c>
      <c r="L48" s="9">
        <v>40</v>
      </c>
      <c r="M48" s="9">
        <v>60</v>
      </c>
      <c r="N48" s="9">
        <v>60</v>
      </c>
      <c r="O48" s="9">
        <v>40</v>
      </c>
      <c r="P48" s="6">
        <f t="shared" ref="P48:P50" si="37">IF(G48="","",SUM(K48:O48))</f>
        <v>240</v>
      </c>
      <c r="Q48" s="6">
        <f t="shared" ref="Q48:Q50" si="38">IF(P48="","",Q47+P48)</f>
        <v>744</v>
      </c>
      <c r="R48" s="42" t="s">
        <v>23</v>
      </c>
    </row>
    <row r="49" spans="1:18" ht="15.95" customHeight="1" x14ac:dyDescent="0.25">
      <c r="A49" s="47"/>
      <c r="B49" s="55"/>
      <c r="C49" s="9"/>
      <c r="D49" s="136"/>
      <c r="E49" s="56"/>
      <c r="F49" s="57"/>
      <c r="G49" s="8">
        <v>46163</v>
      </c>
      <c r="H49" s="9">
        <v>20</v>
      </c>
      <c r="I49" s="9"/>
      <c r="J49" s="9">
        <v>38</v>
      </c>
      <c r="K49" s="9">
        <v>40</v>
      </c>
      <c r="L49" s="9">
        <v>40</v>
      </c>
      <c r="M49" s="9">
        <v>60</v>
      </c>
      <c r="N49" s="9">
        <v>60</v>
      </c>
      <c r="O49" s="9">
        <v>40</v>
      </c>
      <c r="P49" s="6">
        <f t="shared" si="37"/>
        <v>240</v>
      </c>
      <c r="Q49" s="6">
        <f t="shared" si="38"/>
        <v>984</v>
      </c>
      <c r="R49" s="42" t="s">
        <v>23</v>
      </c>
    </row>
    <row r="50" spans="1:18" ht="15.95" customHeight="1" x14ac:dyDescent="0.25">
      <c r="A50" s="47"/>
      <c r="B50" s="55"/>
      <c r="C50" s="9"/>
      <c r="D50" s="136"/>
      <c r="E50" s="56"/>
      <c r="F50" s="57"/>
      <c r="G50" s="8">
        <v>46163</v>
      </c>
      <c r="H50" s="9">
        <v>20</v>
      </c>
      <c r="I50" s="9"/>
      <c r="J50" s="9">
        <v>39</v>
      </c>
      <c r="K50" s="9">
        <f>20*2</f>
        <v>40</v>
      </c>
      <c r="L50" s="9">
        <f t="shared" ref="L50:O50" si="39">20*2</f>
        <v>40</v>
      </c>
      <c r="M50" s="9">
        <v>60</v>
      </c>
      <c r="N50" s="9">
        <v>60</v>
      </c>
      <c r="O50" s="9">
        <f t="shared" si="39"/>
        <v>40</v>
      </c>
      <c r="P50" s="6">
        <f t="shared" si="37"/>
        <v>240</v>
      </c>
      <c r="Q50" s="6">
        <f t="shared" si="38"/>
        <v>1224</v>
      </c>
      <c r="R50" s="42" t="s">
        <v>23</v>
      </c>
    </row>
    <row r="51" spans="1:18" ht="15.95" customHeight="1" x14ac:dyDescent="0.25">
      <c r="A51" s="47"/>
      <c r="B51" s="55"/>
      <c r="C51" s="9"/>
      <c r="D51" s="136"/>
      <c r="E51" s="56"/>
      <c r="F51" s="57"/>
      <c r="G51" s="72">
        <v>46165</v>
      </c>
      <c r="H51" s="73">
        <v>20</v>
      </c>
      <c r="I51" s="73"/>
      <c r="J51" s="73">
        <v>40</v>
      </c>
      <c r="K51" s="73">
        <v>40</v>
      </c>
      <c r="L51" s="73">
        <v>40</v>
      </c>
      <c r="M51" s="73">
        <v>60</v>
      </c>
      <c r="N51" s="73">
        <v>60</v>
      </c>
      <c r="O51" s="73">
        <v>40</v>
      </c>
      <c r="P51" s="78">
        <f t="shared" ref="P51:P52" si="40">IF(G51="","",SUM(K51:O51))</f>
        <v>240</v>
      </c>
      <c r="Q51" s="78">
        <f t="shared" ref="Q51:Q52" si="41">IF(P51="","",Q50+P51)</f>
        <v>1464</v>
      </c>
      <c r="R51" s="74" t="s">
        <v>23</v>
      </c>
    </row>
    <row r="52" spans="1:18" ht="15.95" customHeight="1" x14ac:dyDescent="0.25">
      <c r="A52" s="47"/>
      <c r="B52" s="55"/>
      <c r="C52" s="9"/>
      <c r="D52" s="136"/>
      <c r="E52" s="56"/>
      <c r="F52" s="57"/>
      <c r="G52" s="72">
        <v>46165</v>
      </c>
      <c r="H52" s="73">
        <v>20</v>
      </c>
      <c r="I52" s="73"/>
      <c r="J52" s="73">
        <v>41</v>
      </c>
      <c r="K52" s="73">
        <v>40</v>
      </c>
      <c r="L52" s="73">
        <v>40</v>
      </c>
      <c r="M52" s="73">
        <v>60</v>
      </c>
      <c r="N52" s="73">
        <v>60</v>
      </c>
      <c r="O52" s="73">
        <v>40</v>
      </c>
      <c r="P52" s="78">
        <f t="shared" si="40"/>
        <v>240</v>
      </c>
      <c r="Q52" s="78">
        <f t="shared" si="41"/>
        <v>1704</v>
      </c>
      <c r="R52" s="74" t="s">
        <v>23</v>
      </c>
    </row>
    <row r="53" spans="1:18" ht="15.95" customHeight="1" x14ac:dyDescent="0.25">
      <c r="A53" s="47"/>
      <c r="B53" s="55"/>
      <c r="C53" s="9"/>
      <c r="D53" s="136"/>
      <c r="E53" s="56"/>
      <c r="F53" s="57"/>
      <c r="G53" s="72">
        <v>46165</v>
      </c>
      <c r="H53" s="73">
        <v>20</v>
      </c>
      <c r="I53" s="73"/>
      <c r="J53" s="73">
        <v>42</v>
      </c>
      <c r="K53" s="73">
        <v>40</v>
      </c>
      <c r="L53" s="73">
        <v>40</v>
      </c>
      <c r="M53" s="73">
        <v>60</v>
      </c>
      <c r="N53" s="73">
        <v>60</v>
      </c>
      <c r="O53" s="73">
        <v>40</v>
      </c>
      <c r="P53" s="78">
        <f t="shared" ref="P53:P54" si="42">IF(G53="","",SUM(K53:O53))</f>
        <v>240</v>
      </c>
      <c r="Q53" s="78">
        <f t="shared" ref="Q53:Q54" si="43">IF(P53="","",Q52+P53)</f>
        <v>1944</v>
      </c>
      <c r="R53" s="74" t="s">
        <v>23</v>
      </c>
    </row>
    <row r="54" spans="1:18" ht="15.95" customHeight="1" x14ac:dyDescent="0.25">
      <c r="A54" s="47"/>
      <c r="B54" s="55"/>
      <c r="C54" s="9"/>
      <c r="D54" s="136"/>
      <c r="E54" s="56"/>
      <c r="F54" s="57"/>
      <c r="G54" s="72">
        <v>46166</v>
      </c>
      <c r="H54" s="73">
        <v>20</v>
      </c>
      <c r="I54" s="73"/>
      <c r="J54" s="73">
        <v>43</v>
      </c>
      <c r="K54" s="73">
        <v>40</v>
      </c>
      <c r="L54" s="73">
        <v>40</v>
      </c>
      <c r="M54" s="73">
        <v>60</v>
      </c>
      <c r="N54" s="73">
        <v>60</v>
      </c>
      <c r="O54" s="73">
        <v>40</v>
      </c>
      <c r="P54" s="78">
        <f t="shared" si="42"/>
        <v>240</v>
      </c>
      <c r="Q54" s="78">
        <f t="shared" si="43"/>
        <v>2184</v>
      </c>
      <c r="R54" s="74" t="s">
        <v>23</v>
      </c>
    </row>
    <row r="55" spans="1:18" ht="15.95" customHeight="1" x14ac:dyDescent="0.25">
      <c r="A55" s="47"/>
      <c r="B55" s="55"/>
      <c r="C55" s="9"/>
      <c r="D55" s="136"/>
      <c r="E55" s="56"/>
      <c r="F55" s="57"/>
      <c r="G55" s="72">
        <v>46166</v>
      </c>
      <c r="H55" s="73">
        <v>20</v>
      </c>
      <c r="I55" s="73"/>
      <c r="J55" s="73">
        <v>44</v>
      </c>
      <c r="K55" s="73">
        <v>40</v>
      </c>
      <c r="L55" s="73">
        <v>40</v>
      </c>
      <c r="M55" s="73">
        <v>60</v>
      </c>
      <c r="N55" s="73">
        <v>60</v>
      </c>
      <c r="O55" s="73">
        <v>40</v>
      </c>
      <c r="P55" s="78">
        <f t="shared" ref="P55:P56" si="44">IF(G55="","",SUM(K55:O55))</f>
        <v>240</v>
      </c>
      <c r="Q55" s="78">
        <f t="shared" ref="Q55:Q56" si="45">IF(P55="","",Q54+P55)</f>
        <v>2424</v>
      </c>
      <c r="R55" s="74" t="s">
        <v>23</v>
      </c>
    </row>
    <row r="56" spans="1:18" ht="15.95" customHeight="1" x14ac:dyDescent="0.25">
      <c r="A56" s="47"/>
      <c r="B56" s="55"/>
      <c r="C56" s="9"/>
      <c r="D56" s="136"/>
      <c r="E56" s="56"/>
      <c r="F56" s="57"/>
      <c r="G56" s="72">
        <v>46166</v>
      </c>
      <c r="H56" s="73">
        <v>20</v>
      </c>
      <c r="I56" s="73"/>
      <c r="J56" s="73">
        <v>45</v>
      </c>
      <c r="K56" s="73">
        <v>40</v>
      </c>
      <c r="L56" s="73">
        <v>40</v>
      </c>
      <c r="M56" s="73">
        <v>60</v>
      </c>
      <c r="N56" s="73">
        <v>60</v>
      </c>
      <c r="O56" s="73">
        <v>40</v>
      </c>
      <c r="P56" s="78">
        <f t="shared" si="44"/>
        <v>240</v>
      </c>
      <c r="Q56" s="78">
        <f t="shared" si="45"/>
        <v>2664</v>
      </c>
      <c r="R56" s="74" t="s">
        <v>23</v>
      </c>
    </row>
    <row r="57" spans="1:18" ht="15.95" customHeight="1" x14ac:dyDescent="0.25">
      <c r="A57" s="47"/>
      <c r="B57" s="55"/>
      <c r="C57" s="9"/>
      <c r="D57" s="136"/>
      <c r="E57" s="56"/>
      <c r="F57" s="57"/>
      <c r="G57" s="72">
        <v>46166</v>
      </c>
      <c r="H57" s="73">
        <v>20</v>
      </c>
      <c r="I57" s="73"/>
      <c r="J57" s="73">
        <v>46</v>
      </c>
      <c r="K57" s="73">
        <v>40</v>
      </c>
      <c r="L57" s="73">
        <v>40</v>
      </c>
      <c r="M57" s="73">
        <v>60</v>
      </c>
      <c r="N57" s="73">
        <v>60</v>
      </c>
      <c r="O57" s="73">
        <v>40</v>
      </c>
      <c r="P57" s="78">
        <f t="shared" ref="P57:P59" si="46">IF(G57="","",SUM(K57:O57))</f>
        <v>240</v>
      </c>
      <c r="Q57" s="78">
        <f t="shared" ref="Q57:Q59" si="47">IF(P57="","",Q56+P57)</f>
        <v>2904</v>
      </c>
      <c r="R57" s="74" t="s">
        <v>23</v>
      </c>
    </row>
    <row r="58" spans="1:18" ht="15.95" customHeight="1" x14ac:dyDescent="0.25">
      <c r="A58" s="47"/>
      <c r="B58" s="55"/>
      <c r="C58" s="9"/>
      <c r="D58" s="136"/>
      <c r="E58" s="56"/>
      <c r="F58" s="57"/>
      <c r="G58" s="72">
        <v>46166</v>
      </c>
      <c r="H58" s="73">
        <v>20</v>
      </c>
      <c r="I58" s="73"/>
      <c r="J58" s="73">
        <v>47</v>
      </c>
      <c r="K58" s="73">
        <v>40</v>
      </c>
      <c r="L58" s="73">
        <v>40</v>
      </c>
      <c r="M58" s="73">
        <v>60</v>
      </c>
      <c r="N58" s="73">
        <v>60</v>
      </c>
      <c r="O58" s="73">
        <v>40</v>
      </c>
      <c r="P58" s="78">
        <f t="shared" si="46"/>
        <v>240</v>
      </c>
      <c r="Q58" s="78">
        <f t="shared" si="47"/>
        <v>3144</v>
      </c>
      <c r="R58" s="74" t="s">
        <v>23</v>
      </c>
    </row>
    <row r="59" spans="1:18" ht="15.95" customHeight="1" x14ac:dyDescent="0.25">
      <c r="A59" s="47"/>
      <c r="B59" s="55"/>
      <c r="C59" s="9"/>
      <c r="D59" s="136"/>
      <c r="E59" s="56"/>
      <c r="F59" s="57"/>
      <c r="G59" s="72">
        <v>46166</v>
      </c>
      <c r="H59" s="73">
        <v>20</v>
      </c>
      <c r="I59" s="73"/>
      <c r="J59" s="73">
        <v>48</v>
      </c>
      <c r="K59" s="73">
        <v>40</v>
      </c>
      <c r="L59" s="73">
        <v>40</v>
      </c>
      <c r="M59" s="73">
        <v>60</v>
      </c>
      <c r="N59" s="73">
        <v>60</v>
      </c>
      <c r="O59" s="73">
        <v>40</v>
      </c>
      <c r="P59" s="78">
        <f t="shared" si="46"/>
        <v>240</v>
      </c>
      <c r="Q59" s="78">
        <f t="shared" si="47"/>
        <v>3384</v>
      </c>
      <c r="R59" s="74" t="s">
        <v>23</v>
      </c>
    </row>
    <row r="60" spans="1:18" ht="15.95" customHeight="1" x14ac:dyDescent="0.25">
      <c r="A60" s="47"/>
      <c r="B60" s="55"/>
      <c r="C60" s="9"/>
      <c r="D60" s="136"/>
      <c r="E60" s="56"/>
      <c r="F60" s="57"/>
      <c r="G60" s="72">
        <v>46166</v>
      </c>
      <c r="H60" s="73">
        <v>20</v>
      </c>
      <c r="I60" s="73"/>
      <c r="J60" s="73">
        <v>49</v>
      </c>
      <c r="K60" s="73">
        <v>40</v>
      </c>
      <c r="L60" s="73">
        <v>40</v>
      </c>
      <c r="M60" s="73">
        <v>60</v>
      </c>
      <c r="N60" s="73">
        <v>60</v>
      </c>
      <c r="O60" s="73">
        <v>40</v>
      </c>
      <c r="P60" s="78">
        <f t="shared" ref="P60:P62" si="48">IF(G60="","",SUM(K60:O60))</f>
        <v>240</v>
      </c>
      <c r="Q60" s="78">
        <f t="shared" ref="Q60:Q62" si="49">IF(P60="","",Q59+P60)</f>
        <v>3624</v>
      </c>
      <c r="R60" s="74" t="s">
        <v>23</v>
      </c>
    </row>
    <row r="61" spans="1:18" ht="15.95" customHeight="1" x14ac:dyDescent="0.25">
      <c r="A61" s="47"/>
      <c r="B61" s="55"/>
      <c r="C61" s="9"/>
      <c r="D61" s="136"/>
      <c r="E61" s="56"/>
      <c r="F61" s="57"/>
      <c r="G61" s="72">
        <v>46166</v>
      </c>
      <c r="H61" s="73">
        <v>20</v>
      </c>
      <c r="I61" s="73"/>
      <c r="J61" s="73">
        <v>50</v>
      </c>
      <c r="K61" s="73">
        <v>40</v>
      </c>
      <c r="L61" s="73">
        <v>40</v>
      </c>
      <c r="M61" s="73">
        <v>60</v>
      </c>
      <c r="N61" s="73">
        <v>60</v>
      </c>
      <c r="O61" s="73">
        <v>40</v>
      </c>
      <c r="P61" s="78">
        <f t="shared" si="48"/>
        <v>240</v>
      </c>
      <c r="Q61" s="78">
        <f t="shared" si="49"/>
        <v>3864</v>
      </c>
      <c r="R61" s="74" t="s">
        <v>23</v>
      </c>
    </row>
    <row r="62" spans="1:18" ht="15.95" customHeight="1" x14ac:dyDescent="0.25">
      <c r="A62" s="47"/>
      <c r="B62" s="55"/>
      <c r="C62" s="9"/>
      <c r="D62" s="136"/>
      <c r="E62" s="56"/>
      <c r="F62" s="57"/>
      <c r="G62" s="72">
        <v>46166</v>
      </c>
      <c r="H62" s="73">
        <v>20</v>
      </c>
      <c r="I62" s="73"/>
      <c r="J62" s="73">
        <v>51</v>
      </c>
      <c r="K62" s="73">
        <v>40</v>
      </c>
      <c r="L62" s="73">
        <v>40</v>
      </c>
      <c r="M62" s="73">
        <v>60</v>
      </c>
      <c r="N62" s="73">
        <v>60</v>
      </c>
      <c r="O62" s="73">
        <v>40</v>
      </c>
      <c r="P62" s="78">
        <f t="shared" si="48"/>
        <v>240</v>
      </c>
      <c r="Q62" s="78">
        <f t="shared" si="49"/>
        <v>4104</v>
      </c>
      <c r="R62" s="74" t="s">
        <v>23</v>
      </c>
    </row>
    <row r="63" spans="1:18" ht="15.95" customHeight="1" x14ac:dyDescent="0.25">
      <c r="A63" s="47"/>
      <c r="B63" s="55"/>
      <c r="C63" s="9"/>
      <c r="D63" s="136"/>
      <c r="E63" s="56"/>
      <c r="F63" s="57"/>
      <c r="G63" s="72">
        <v>46166</v>
      </c>
      <c r="H63" s="73">
        <v>20</v>
      </c>
      <c r="I63" s="73"/>
      <c r="J63" s="73">
        <v>52</v>
      </c>
      <c r="K63" s="73">
        <v>40</v>
      </c>
      <c r="L63" s="73">
        <v>40</v>
      </c>
      <c r="M63" s="73">
        <v>60</v>
      </c>
      <c r="N63" s="73">
        <v>60</v>
      </c>
      <c r="O63" s="73">
        <v>40</v>
      </c>
      <c r="P63" s="78">
        <f t="shared" ref="P63:P64" si="50">IF(G63="","",SUM(K63:O63))</f>
        <v>240</v>
      </c>
      <c r="Q63" s="78">
        <f t="shared" ref="Q63:Q64" si="51">IF(P63="","",Q62+P63)</f>
        <v>4344</v>
      </c>
      <c r="R63" s="74" t="s">
        <v>23</v>
      </c>
    </row>
    <row r="64" spans="1:18" ht="15.95" customHeight="1" x14ac:dyDescent="0.25">
      <c r="A64" s="47"/>
      <c r="B64" s="55"/>
      <c r="C64" s="9"/>
      <c r="D64" s="136"/>
      <c r="E64" s="56"/>
      <c r="F64" s="57"/>
      <c r="G64" s="72">
        <v>46166</v>
      </c>
      <c r="H64" s="73">
        <v>20</v>
      </c>
      <c r="I64" s="73"/>
      <c r="J64" s="73">
        <v>53</v>
      </c>
      <c r="K64" s="73">
        <v>40</v>
      </c>
      <c r="L64" s="73">
        <v>40</v>
      </c>
      <c r="M64" s="73">
        <v>60</v>
      </c>
      <c r="N64" s="73">
        <v>60</v>
      </c>
      <c r="O64" s="73">
        <v>40</v>
      </c>
      <c r="P64" s="78">
        <f t="shared" si="50"/>
        <v>240</v>
      </c>
      <c r="Q64" s="78">
        <f t="shared" si="51"/>
        <v>4584</v>
      </c>
      <c r="R64" s="74" t="s">
        <v>23</v>
      </c>
    </row>
    <row r="65" spans="1:18" ht="15.95" customHeight="1" x14ac:dyDescent="0.25">
      <c r="A65" s="47"/>
      <c r="B65" s="55"/>
      <c r="C65" s="9"/>
      <c r="D65" s="136"/>
      <c r="E65" s="56"/>
      <c r="F65" s="57"/>
      <c r="G65" s="72">
        <v>46167</v>
      </c>
      <c r="H65" s="73">
        <v>20</v>
      </c>
      <c r="I65" s="73"/>
      <c r="J65" s="73">
        <v>54</v>
      </c>
      <c r="K65" s="73">
        <v>40</v>
      </c>
      <c r="L65" s="73">
        <v>40</v>
      </c>
      <c r="M65" s="73">
        <v>60</v>
      </c>
      <c r="N65" s="73">
        <v>60</v>
      </c>
      <c r="O65" s="73">
        <v>40</v>
      </c>
      <c r="P65" s="78">
        <f t="shared" ref="P65:P66" si="52">IF(G65="","",SUM(K65:O65))</f>
        <v>240</v>
      </c>
      <c r="Q65" s="78">
        <f>IF(P65="","",Q64+P65)</f>
        <v>4824</v>
      </c>
      <c r="R65" s="74" t="s">
        <v>23</v>
      </c>
    </row>
    <row r="66" spans="1:18" ht="15.95" customHeight="1" x14ac:dyDescent="0.25">
      <c r="A66" s="47"/>
      <c r="B66" s="55"/>
      <c r="C66" s="9"/>
      <c r="D66" s="136"/>
      <c r="E66" s="56"/>
      <c r="F66" s="57"/>
      <c r="G66" s="72">
        <v>46167</v>
      </c>
      <c r="H66" s="73">
        <v>20</v>
      </c>
      <c r="I66" s="73"/>
      <c r="J66" s="73">
        <v>55</v>
      </c>
      <c r="K66" s="73">
        <v>40</v>
      </c>
      <c r="L66" s="73">
        <v>40</v>
      </c>
      <c r="M66" s="73">
        <v>60</v>
      </c>
      <c r="N66" s="73">
        <v>60</v>
      </c>
      <c r="O66" s="73">
        <v>40</v>
      </c>
      <c r="P66" s="78">
        <f t="shared" si="52"/>
        <v>240</v>
      </c>
      <c r="Q66" s="78">
        <f>IF(P66="","",Q65+P66)</f>
        <v>5064</v>
      </c>
      <c r="R66" s="74" t="s">
        <v>23</v>
      </c>
    </row>
    <row r="67" spans="1:18" ht="15.95" customHeight="1" x14ac:dyDescent="0.25">
      <c r="A67" s="47"/>
      <c r="B67" s="55"/>
      <c r="C67" s="9"/>
      <c r="D67" s="136"/>
      <c r="E67" s="56"/>
      <c r="F67" s="57"/>
      <c r="G67" s="72">
        <v>46167</v>
      </c>
      <c r="H67" s="73">
        <v>20</v>
      </c>
      <c r="I67" s="73"/>
      <c r="J67" s="73">
        <v>56</v>
      </c>
      <c r="K67" s="73">
        <v>40</v>
      </c>
      <c r="L67" s="73">
        <v>40</v>
      </c>
      <c r="M67" s="73">
        <v>60</v>
      </c>
      <c r="N67" s="73">
        <v>60</v>
      </c>
      <c r="O67" s="73">
        <v>40</v>
      </c>
      <c r="P67" s="78">
        <f t="shared" ref="P67" si="53">IF(G67="","",SUM(K67:O67))</f>
        <v>240</v>
      </c>
      <c r="Q67" s="78">
        <f>IF(P67="","",Q66+P67)</f>
        <v>5304</v>
      </c>
      <c r="R67" s="74" t="s">
        <v>23</v>
      </c>
    </row>
    <row r="68" spans="1:18" ht="15.95" customHeight="1" x14ac:dyDescent="0.25">
      <c r="A68" s="47"/>
      <c r="B68" s="55"/>
      <c r="C68" s="9"/>
      <c r="D68" s="136"/>
      <c r="E68" s="56"/>
      <c r="F68" s="57"/>
      <c r="G68" s="72">
        <v>46167</v>
      </c>
      <c r="H68" s="73">
        <v>20</v>
      </c>
      <c r="I68" s="73"/>
      <c r="J68" s="73">
        <v>57</v>
      </c>
      <c r="K68" s="73">
        <v>40</v>
      </c>
      <c r="L68" s="73">
        <v>40</v>
      </c>
      <c r="M68" s="73">
        <v>60</v>
      </c>
      <c r="N68" s="73">
        <v>60</v>
      </c>
      <c r="O68" s="73">
        <v>40</v>
      </c>
      <c r="P68" s="78">
        <f t="shared" ref="P68:P78" si="54">IF(G68="","",SUM(K68:O68))</f>
        <v>240</v>
      </c>
      <c r="Q68" s="78">
        <f t="shared" ref="Q68:Q78" si="55">IF(P68="","",Q67+P68)</f>
        <v>5544</v>
      </c>
      <c r="R68" s="74" t="s">
        <v>23</v>
      </c>
    </row>
    <row r="69" spans="1:18" ht="15.95" customHeight="1" x14ac:dyDescent="0.25">
      <c r="A69" s="47"/>
      <c r="B69" s="55"/>
      <c r="C69" s="9"/>
      <c r="D69" s="136"/>
      <c r="E69" s="56"/>
      <c r="F69" s="57"/>
      <c r="G69" s="72">
        <v>46167</v>
      </c>
      <c r="H69" s="73">
        <v>20</v>
      </c>
      <c r="I69" s="73"/>
      <c r="J69" s="73">
        <v>58</v>
      </c>
      <c r="K69" s="73">
        <v>40</v>
      </c>
      <c r="L69" s="73">
        <v>40</v>
      </c>
      <c r="M69" s="73">
        <v>60</v>
      </c>
      <c r="N69" s="73">
        <v>60</v>
      </c>
      <c r="O69" s="73">
        <v>40</v>
      </c>
      <c r="P69" s="78">
        <f t="shared" si="54"/>
        <v>240</v>
      </c>
      <c r="Q69" s="78">
        <f t="shared" si="55"/>
        <v>5784</v>
      </c>
      <c r="R69" s="74" t="s">
        <v>23</v>
      </c>
    </row>
    <row r="70" spans="1:18" ht="15.95" customHeight="1" x14ac:dyDescent="0.25">
      <c r="A70" s="47"/>
      <c r="B70" s="55"/>
      <c r="C70" s="9"/>
      <c r="D70" s="136"/>
      <c r="E70" s="56"/>
      <c r="F70" s="57"/>
      <c r="G70" s="72">
        <v>46167</v>
      </c>
      <c r="H70" s="73">
        <v>20</v>
      </c>
      <c r="I70" s="73"/>
      <c r="J70" s="73">
        <v>59</v>
      </c>
      <c r="K70" s="73">
        <v>40</v>
      </c>
      <c r="L70" s="73">
        <v>40</v>
      </c>
      <c r="M70" s="73">
        <v>60</v>
      </c>
      <c r="N70" s="73">
        <v>60</v>
      </c>
      <c r="O70" s="73">
        <v>40</v>
      </c>
      <c r="P70" s="78">
        <f t="shared" si="54"/>
        <v>240</v>
      </c>
      <c r="Q70" s="78">
        <f t="shared" si="55"/>
        <v>6024</v>
      </c>
      <c r="R70" s="74" t="s">
        <v>23</v>
      </c>
    </row>
    <row r="71" spans="1:18" ht="15.95" customHeight="1" x14ac:dyDescent="0.25">
      <c r="A71" s="47"/>
      <c r="B71" s="55"/>
      <c r="C71" s="9"/>
      <c r="D71" s="136"/>
      <c r="E71" s="56"/>
      <c r="F71" s="57"/>
      <c r="G71" s="72">
        <v>46167</v>
      </c>
      <c r="H71" s="73">
        <v>20</v>
      </c>
      <c r="I71" s="73"/>
      <c r="J71" s="73">
        <v>60</v>
      </c>
      <c r="K71" s="73">
        <v>40</v>
      </c>
      <c r="L71" s="73">
        <v>40</v>
      </c>
      <c r="M71" s="73">
        <v>60</v>
      </c>
      <c r="N71" s="73">
        <v>60</v>
      </c>
      <c r="O71" s="73">
        <v>40</v>
      </c>
      <c r="P71" s="78">
        <f t="shared" si="54"/>
        <v>240</v>
      </c>
      <c r="Q71" s="78">
        <f t="shared" si="55"/>
        <v>6264</v>
      </c>
      <c r="R71" s="74" t="s">
        <v>23</v>
      </c>
    </row>
    <row r="72" spans="1:18" ht="15.95" customHeight="1" x14ac:dyDescent="0.25">
      <c r="A72" s="47"/>
      <c r="B72" s="55"/>
      <c r="C72" s="9"/>
      <c r="D72" s="136"/>
      <c r="E72" s="56"/>
      <c r="F72" s="57"/>
      <c r="G72" s="72">
        <v>46167</v>
      </c>
      <c r="H72" s="73">
        <v>20</v>
      </c>
      <c r="I72" s="73"/>
      <c r="J72" s="73">
        <v>61</v>
      </c>
      <c r="K72" s="73">
        <v>40</v>
      </c>
      <c r="L72" s="73">
        <v>40</v>
      </c>
      <c r="M72" s="73">
        <v>60</v>
      </c>
      <c r="N72" s="73">
        <v>60</v>
      </c>
      <c r="O72" s="73">
        <v>40</v>
      </c>
      <c r="P72" s="78">
        <f t="shared" si="54"/>
        <v>240</v>
      </c>
      <c r="Q72" s="78">
        <f t="shared" si="55"/>
        <v>6504</v>
      </c>
      <c r="R72" s="74" t="s">
        <v>23</v>
      </c>
    </row>
    <row r="73" spans="1:18" ht="15.95" customHeight="1" x14ac:dyDescent="0.25">
      <c r="A73" s="47"/>
      <c r="B73" s="55"/>
      <c r="C73" s="9"/>
      <c r="D73" s="136"/>
      <c r="E73" s="56"/>
      <c r="F73" s="57"/>
      <c r="G73" s="72">
        <v>46167</v>
      </c>
      <c r="H73" s="73">
        <v>20</v>
      </c>
      <c r="I73" s="73"/>
      <c r="J73" s="73">
        <v>62</v>
      </c>
      <c r="K73" s="73">
        <v>40</v>
      </c>
      <c r="L73" s="73">
        <v>40</v>
      </c>
      <c r="M73" s="73">
        <v>60</v>
      </c>
      <c r="N73" s="73">
        <v>60</v>
      </c>
      <c r="O73" s="73">
        <v>40</v>
      </c>
      <c r="P73" s="78">
        <f t="shared" si="54"/>
        <v>240</v>
      </c>
      <c r="Q73" s="78">
        <f t="shared" si="55"/>
        <v>6744</v>
      </c>
      <c r="R73" s="74" t="s">
        <v>23</v>
      </c>
    </row>
    <row r="74" spans="1:18" ht="15.95" customHeight="1" x14ac:dyDescent="0.25">
      <c r="A74" s="47"/>
      <c r="B74" s="55"/>
      <c r="C74" s="9"/>
      <c r="D74" s="136"/>
      <c r="E74" s="56"/>
      <c r="F74" s="57"/>
      <c r="G74" s="72">
        <v>46167</v>
      </c>
      <c r="H74" s="73">
        <v>20</v>
      </c>
      <c r="I74" s="73"/>
      <c r="J74" s="73">
        <v>63</v>
      </c>
      <c r="K74" s="73">
        <v>40</v>
      </c>
      <c r="L74" s="73">
        <v>40</v>
      </c>
      <c r="M74" s="73">
        <v>60</v>
      </c>
      <c r="N74" s="73">
        <v>60</v>
      </c>
      <c r="O74" s="73">
        <v>40</v>
      </c>
      <c r="P74" s="78">
        <f t="shared" si="54"/>
        <v>240</v>
      </c>
      <c r="Q74" s="78">
        <f t="shared" si="55"/>
        <v>6984</v>
      </c>
      <c r="R74" s="74" t="s">
        <v>23</v>
      </c>
    </row>
    <row r="75" spans="1:18" ht="15.95" customHeight="1" x14ac:dyDescent="0.25">
      <c r="A75" s="47"/>
      <c r="B75" s="55"/>
      <c r="C75" s="9"/>
      <c r="D75" s="136"/>
      <c r="E75" s="56"/>
      <c r="F75" s="57"/>
      <c r="G75" s="72">
        <v>46167</v>
      </c>
      <c r="H75" s="73">
        <v>20</v>
      </c>
      <c r="I75" s="73"/>
      <c r="J75" s="73">
        <v>64</v>
      </c>
      <c r="K75" s="73">
        <v>40</v>
      </c>
      <c r="L75" s="73">
        <v>40</v>
      </c>
      <c r="M75" s="73">
        <v>60</v>
      </c>
      <c r="N75" s="73">
        <v>60</v>
      </c>
      <c r="O75" s="73">
        <v>40</v>
      </c>
      <c r="P75" s="78">
        <f t="shared" si="54"/>
        <v>240</v>
      </c>
      <c r="Q75" s="78">
        <f t="shared" si="55"/>
        <v>7224</v>
      </c>
      <c r="R75" s="74" t="s">
        <v>23</v>
      </c>
    </row>
    <row r="76" spans="1:18" ht="15.95" customHeight="1" x14ac:dyDescent="0.25">
      <c r="A76" s="47"/>
      <c r="B76" s="55"/>
      <c r="C76" s="9"/>
      <c r="D76" s="136"/>
      <c r="E76" s="56"/>
      <c r="F76" s="57"/>
      <c r="G76" s="72">
        <v>46167</v>
      </c>
      <c r="H76" s="73">
        <v>20</v>
      </c>
      <c r="I76" s="73"/>
      <c r="J76" s="73">
        <v>65</v>
      </c>
      <c r="K76" s="73">
        <v>40</v>
      </c>
      <c r="L76" s="73">
        <v>40</v>
      </c>
      <c r="M76" s="73">
        <v>60</v>
      </c>
      <c r="N76" s="73">
        <v>60</v>
      </c>
      <c r="O76" s="73">
        <v>40</v>
      </c>
      <c r="P76" s="78">
        <f t="shared" si="54"/>
        <v>240</v>
      </c>
      <c r="Q76" s="78">
        <f t="shared" si="55"/>
        <v>7464</v>
      </c>
      <c r="R76" s="74" t="s">
        <v>23</v>
      </c>
    </row>
    <row r="77" spans="1:18" ht="15.95" customHeight="1" x14ac:dyDescent="0.25">
      <c r="A77" s="47"/>
      <c r="B77" s="55"/>
      <c r="C77" s="9"/>
      <c r="D77" s="136"/>
      <c r="E77" s="56"/>
      <c r="F77" s="57"/>
      <c r="G77" s="72">
        <v>46167</v>
      </c>
      <c r="H77" s="73">
        <v>20</v>
      </c>
      <c r="I77" s="73"/>
      <c r="J77" s="73">
        <v>66</v>
      </c>
      <c r="K77" s="73">
        <v>40</v>
      </c>
      <c r="L77" s="73">
        <v>40</v>
      </c>
      <c r="M77" s="73">
        <v>60</v>
      </c>
      <c r="N77" s="73">
        <v>60</v>
      </c>
      <c r="O77" s="73">
        <v>40</v>
      </c>
      <c r="P77" s="78">
        <f t="shared" si="54"/>
        <v>240</v>
      </c>
      <c r="Q77" s="78">
        <f t="shared" si="55"/>
        <v>7704</v>
      </c>
      <c r="R77" s="74" t="s">
        <v>23</v>
      </c>
    </row>
    <row r="78" spans="1:18" ht="15.95" customHeight="1" x14ac:dyDescent="0.25">
      <c r="A78" s="47"/>
      <c r="B78" s="55"/>
      <c r="C78" s="9"/>
      <c r="D78" s="136"/>
      <c r="E78" s="56"/>
      <c r="F78" s="57"/>
      <c r="G78" s="72">
        <v>46167</v>
      </c>
      <c r="H78" s="73">
        <v>20</v>
      </c>
      <c r="I78" s="73"/>
      <c r="J78" s="73">
        <v>67</v>
      </c>
      <c r="K78" s="73">
        <v>40</v>
      </c>
      <c r="L78" s="73">
        <v>40</v>
      </c>
      <c r="M78" s="73">
        <v>60</v>
      </c>
      <c r="N78" s="73">
        <v>60</v>
      </c>
      <c r="O78" s="73">
        <v>40</v>
      </c>
      <c r="P78" s="78">
        <f t="shared" si="54"/>
        <v>240</v>
      </c>
      <c r="Q78" s="78">
        <f t="shared" si="55"/>
        <v>7944</v>
      </c>
      <c r="R78" s="74" t="s">
        <v>23</v>
      </c>
    </row>
    <row r="79" spans="1:18" ht="15.95" customHeight="1" x14ac:dyDescent="0.25">
      <c r="A79" s="47"/>
      <c r="B79" s="55"/>
      <c r="C79" s="9"/>
      <c r="D79" s="136"/>
      <c r="E79" s="56"/>
      <c r="F79" s="57"/>
      <c r="G79" s="72">
        <v>46167</v>
      </c>
      <c r="H79" s="73">
        <v>20</v>
      </c>
      <c r="I79" s="73"/>
      <c r="J79" s="73">
        <v>68</v>
      </c>
      <c r="K79" s="73">
        <v>40</v>
      </c>
      <c r="L79" s="73">
        <v>40</v>
      </c>
      <c r="M79" s="73">
        <v>60</v>
      </c>
      <c r="N79" s="73">
        <v>60</v>
      </c>
      <c r="O79" s="73">
        <v>40</v>
      </c>
      <c r="P79" s="78">
        <f t="shared" ref="P79:P80" si="56">IF(G79="","",SUM(K79:O79))</f>
        <v>240</v>
      </c>
      <c r="Q79" s="78">
        <f t="shared" ref="Q79:Q80" si="57">IF(P79="","",Q78+P79)</f>
        <v>8184</v>
      </c>
      <c r="R79" s="74" t="s">
        <v>23</v>
      </c>
    </row>
    <row r="80" spans="1:18" ht="15.95" customHeight="1" x14ac:dyDescent="0.25">
      <c r="A80" s="47"/>
      <c r="B80" s="55"/>
      <c r="C80" s="9"/>
      <c r="D80" s="136"/>
      <c r="E80" s="56"/>
      <c r="F80" s="57"/>
      <c r="G80" s="72">
        <v>46167</v>
      </c>
      <c r="H80" s="73">
        <v>20</v>
      </c>
      <c r="I80" s="73"/>
      <c r="J80" s="73">
        <v>69</v>
      </c>
      <c r="K80" s="73">
        <v>40</v>
      </c>
      <c r="L80" s="73">
        <v>40</v>
      </c>
      <c r="M80" s="73">
        <v>60</v>
      </c>
      <c r="N80" s="73">
        <v>60</v>
      </c>
      <c r="O80" s="73">
        <v>40</v>
      </c>
      <c r="P80" s="78">
        <f t="shared" si="56"/>
        <v>240</v>
      </c>
      <c r="Q80" s="78">
        <f t="shared" si="57"/>
        <v>8424</v>
      </c>
      <c r="R80" s="74" t="s">
        <v>23</v>
      </c>
    </row>
    <row r="81" spans="1:18" ht="15.95" customHeight="1" x14ac:dyDescent="0.25">
      <c r="A81" s="47"/>
      <c r="B81" s="55"/>
      <c r="C81" s="9"/>
      <c r="D81" s="136"/>
      <c r="E81" s="56"/>
      <c r="F81" s="57"/>
      <c r="G81" s="72">
        <v>46167</v>
      </c>
      <c r="H81" s="73">
        <v>20</v>
      </c>
      <c r="I81" s="73"/>
      <c r="J81" s="73">
        <v>70</v>
      </c>
      <c r="K81" s="73">
        <v>40</v>
      </c>
      <c r="L81" s="73">
        <v>40</v>
      </c>
      <c r="M81" s="73">
        <v>60</v>
      </c>
      <c r="N81" s="73">
        <v>60</v>
      </c>
      <c r="O81" s="73">
        <v>40</v>
      </c>
      <c r="P81" s="78">
        <f t="shared" ref="P81:P83" si="58">IF(G81="","",SUM(K81:O81))</f>
        <v>240</v>
      </c>
      <c r="Q81" s="78">
        <f t="shared" ref="Q81:Q83" si="59">IF(P81="","",Q80+P81)</f>
        <v>8664</v>
      </c>
      <c r="R81" s="74" t="s">
        <v>23</v>
      </c>
    </row>
    <row r="82" spans="1:18" ht="15.95" customHeight="1" x14ac:dyDescent="0.25">
      <c r="A82" s="47"/>
      <c r="B82" s="55"/>
      <c r="C82" s="9"/>
      <c r="D82" s="136"/>
      <c r="E82" s="56"/>
      <c r="F82" s="57"/>
      <c r="G82" s="72">
        <v>46167</v>
      </c>
      <c r="H82" s="73">
        <v>20</v>
      </c>
      <c r="I82" s="73"/>
      <c r="J82" s="73">
        <v>71</v>
      </c>
      <c r="K82" s="73">
        <v>40</v>
      </c>
      <c r="L82" s="73">
        <v>40</v>
      </c>
      <c r="M82" s="73">
        <v>60</v>
      </c>
      <c r="N82" s="73">
        <v>60</v>
      </c>
      <c r="O82" s="73">
        <v>40</v>
      </c>
      <c r="P82" s="78">
        <f t="shared" si="58"/>
        <v>240</v>
      </c>
      <c r="Q82" s="78">
        <f t="shared" si="59"/>
        <v>8904</v>
      </c>
      <c r="R82" s="74" t="s">
        <v>23</v>
      </c>
    </row>
    <row r="83" spans="1:18" ht="15.95" customHeight="1" x14ac:dyDescent="0.25">
      <c r="A83" s="47"/>
      <c r="B83" s="55"/>
      <c r="C83" s="9"/>
      <c r="D83" s="136"/>
      <c r="E83" s="56"/>
      <c r="F83" s="57"/>
      <c r="G83" s="72">
        <v>46167</v>
      </c>
      <c r="H83" s="73">
        <v>20</v>
      </c>
      <c r="I83" s="73"/>
      <c r="J83" s="73">
        <v>72</v>
      </c>
      <c r="K83" s="73">
        <v>40</v>
      </c>
      <c r="L83" s="73">
        <v>40</v>
      </c>
      <c r="M83" s="73">
        <v>60</v>
      </c>
      <c r="N83" s="73">
        <v>60</v>
      </c>
      <c r="O83" s="73">
        <v>40</v>
      </c>
      <c r="P83" s="78">
        <f t="shared" si="58"/>
        <v>240</v>
      </c>
      <c r="Q83" s="78">
        <f t="shared" si="59"/>
        <v>9144</v>
      </c>
      <c r="R83" s="74" t="s">
        <v>23</v>
      </c>
    </row>
    <row r="84" spans="1:18" ht="15.95" customHeight="1" x14ac:dyDescent="0.25">
      <c r="A84" s="47"/>
      <c r="B84" s="55"/>
      <c r="C84" s="9"/>
      <c r="D84" s="136"/>
      <c r="E84" s="56"/>
      <c r="F84" s="57"/>
      <c r="G84" s="72">
        <v>46168</v>
      </c>
      <c r="H84" s="73">
        <v>20</v>
      </c>
      <c r="I84" s="73"/>
      <c r="J84" s="73">
        <v>73</v>
      </c>
      <c r="K84" s="73">
        <v>40</v>
      </c>
      <c r="L84" s="73">
        <v>40</v>
      </c>
      <c r="M84" s="73">
        <v>60</v>
      </c>
      <c r="N84" s="73">
        <v>60</v>
      </c>
      <c r="O84" s="73">
        <v>40</v>
      </c>
      <c r="P84" s="78">
        <f t="shared" ref="P84:P86" si="60">IF(G84="","",SUM(K84:O84))</f>
        <v>240</v>
      </c>
      <c r="Q84" s="78">
        <f>IF(P84="","",Q83+P84)</f>
        <v>9384</v>
      </c>
      <c r="R84" s="74" t="s">
        <v>23</v>
      </c>
    </row>
    <row r="85" spans="1:18" ht="15.95" customHeight="1" x14ac:dyDescent="0.25">
      <c r="A85" s="47"/>
      <c r="B85" s="55"/>
      <c r="C85" s="9"/>
      <c r="D85" s="136"/>
      <c r="E85" s="56"/>
      <c r="F85" s="57"/>
      <c r="G85" s="72">
        <v>46168</v>
      </c>
      <c r="H85" s="73">
        <v>20</v>
      </c>
      <c r="I85" s="73"/>
      <c r="J85" s="73">
        <v>74</v>
      </c>
      <c r="K85" s="73">
        <v>40</v>
      </c>
      <c r="L85" s="73">
        <v>40</v>
      </c>
      <c r="M85" s="73">
        <v>60</v>
      </c>
      <c r="N85" s="73">
        <v>60</v>
      </c>
      <c r="O85" s="73">
        <v>40</v>
      </c>
      <c r="P85" s="78">
        <f t="shared" si="60"/>
        <v>240</v>
      </c>
      <c r="Q85" s="78">
        <f t="shared" ref="Q85:Q86" si="61">IF(P85="","",Q84+P85)</f>
        <v>9624</v>
      </c>
      <c r="R85" s="74" t="s">
        <v>23</v>
      </c>
    </row>
    <row r="86" spans="1:18" ht="15.95" customHeight="1" x14ac:dyDescent="0.25">
      <c r="A86" s="47"/>
      <c r="B86" s="55"/>
      <c r="C86" s="9"/>
      <c r="D86" s="136"/>
      <c r="E86" s="56"/>
      <c r="F86" s="57"/>
      <c r="G86" s="72">
        <v>46168</v>
      </c>
      <c r="H86" s="73">
        <v>20</v>
      </c>
      <c r="I86" s="73"/>
      <c r="J86" s="73">
        <v>75</v>
      </c>
      <c r="K86" s="73">
        <v>40</v>
      </c>
      <c r="L86" s="73">
        <v>40</v>
      </c>
      <c r="M86" s="73">
        <v>60</v>
      </c>
      <c r="N86" s="73">
        <v>60</v>
      </c>
      <c r="O86" s="73">
        <v>40</v>
      </c>
      <c r="P86" s="78">
        <f t="shared" si="60"/>
        <v>240</v>
      </c>
      <c r="Q86" s="78">
        <f t="shared" si="61"/>
        <v>9864</v>
      </c>
      <c r="R86" s="74" t="s">
        <v>23</v>
      </c>
    </row>
    <row r="87" spans="1:18" ht="15.95" customHeight="1" x14ac:dyDescent="0.25">
      <c r="A87" s="47"/>
      <c r="B87" s="55"/>
      <c r="C87" s="9"/>
      <c r="D87" s="136"/>
      <c r="E87" s="56"/>
      <c r="F87" s="57"/>
      <c r="G87" s="118">
        <v>46168</v>
      </c>
      <c r="H87" s="119">
        <v>21</v>
      </c>
      <c r="I87" s="119"/>
      <c r="J87" s="119">
        <v>76</v>
      </c>
      <c r="K87" s="119">
        <v>42</v>
      </c>
      <c r="L87" s="119">
        <v>42</v>
      </c>
      <c r="M87" s="119">
        <v>63</v>
      </c>
      <c r="N87" s="119">
        <v>63</v>
      </c>
      <c r="O87" s="119">
        <v>42</v>
      </c>
      <c r="P87" s="120">
        <f t="shared" ref="P87:P88" si="62">IF(G87="","",SUM(K87:O87))</f>
        <v>252</v>
      </c>
      <c r="Q87" s="120">
        <f t="shared" ref="Q87:Q88" si="63">IF(P87="","",Q86+P87)</f>
        <v>10116</v>
      </c>
      <c r="R87" s="121" t="s">
        <v>23</v>
      </c>
    </row>
    <row r="88" spans="1:18" ht="15.95" customHeight="1" x14ac:dyDescent="0.25">
      <c r="A88" s="47"/>
      <c r="B88" s="55"/>
      <c r="C88" s="9"/>
      <c r="D88" s="136"/>
      <c r="E88" s="56"/>
      <c r="F88" s="57"/>
      <c r="G88" s="72">
        <v>46168</v>
      </c>
      <c r="H88" s="73">
        <v>20</v>
      </c>
      <c r="I88" s="73"/>
      <c r="J88" s="73">
        <v>77</v>
      </c>
      <c r="K88" s="73">
        <v>40</v>
      </c>
      <c r="L88" s="73">
        <v>40</v>
      </c>
      <c r="M88" s="73">
        <v>60</v>
      </c>
      <c r="N88" s="73">
        <v>60</v>
      </c>
      <c r="O88" s="73">
        <v>40</v>
      </c>
      <c r="P88" s="78">
        <f t="shared" si="62"/>
        <v>240</v>
      </c>
      <c r="Q88" s="78">
        <f t="shared" si="63"/>
        <v>10356</v>
      </c>
      <c r="R88" s="74" t="s">
        <v>23</v>
      </c>
    </row>
    <row r="89" spans="1:18" ht="15.95" customHeight="1" x14ac:dyDescent="0.25">
      <c r="A89" s="47"/>
      <c r="B89" s="55"/>
      <c r="C89" s="9"/>
      <c r="D89" s="136"/>
      <c r="E89" s="56"/>
      <c r="F89" s="57"/>
      <c r="G89" s="72">
        <v>46168</v>
      </c>
      <c r="H89" s="73">
        <v>20</v>
      </c>
      <c r="I89" s="73"/>
      <c r="J89" s="73">
        <v>78</v>
      </c>
      <c r="K89" s="73">
        <v>40</v>
      </c>
      <c r="L89" s="73">
        <v>40</v>
      </c>
      <c r="M89" s="73">
        <v>60</v>
      </c>
      <c r="N89" s="73">
        <v>60</v>
      </c>
      <c r="O89" s="73">
        <v>40</v>
      </c>
      <c r="P89" s="78">
        <f t="shared" ref="P89:P90" si="64">IF(G89="","",SUM(K89:O89))</f>
        <v>240</v>
      </c>
      <c r="Q89" s="78">
        <f t="shared" ref="Q89" si="65">IF(P89="","",Q88+P89)</f>
        <v>10596</v>
      </c>
      <c r="R89" s="74" t="s">
        <v>23</v>
      </c>
    </row>
    <row r="90" spans="1:18" ht="15.95" customHeight="1" x14ac:dyDescent="0.25">
      <c r="A90" s="47"/>
      <c r="B90" s="55"/>
      <c r="C90" s="9"/>
      <c r="D90" s="136"/>
      <c r="E90" s="56"/>
      <c r="F90" s="57"/>
      <c r="G90" s="72">
        <v>46179</v>
      </c>
      <c r="H90" s="73">
        <v>20</v>
      </c>
      <c r="I90" s="73"/>
      <c r="J90" s="73">
        <v>79</v>
      </c>
      <c r="K90" s="73">
        <v>40</v>
      </c>
      <c r="L90" s="73">
        <v>40</v>
      </c>
      <c r="M90" s="73">
        <v>60</v>
      </c>
      <c r="N90" s="73">
        <v>60</v>
      </c>
      <c r="O90" s="73">
        <v>40</v>
      </c>
      <c r="P90" s="78">
        <f t="shared" si="64"/>
        <v>240</v>
      </c>
      <c r="Q90" s="78">
        <f>IF(P90="","",Q89+P90)</f>
        <v>10836</v>
      </c>
      <c r="R90" s="74" t="s">
        <v>23</v>
      </c>
    </row>
    <row r="91" spans="1:18" ht="15.95" customHeight="1" x14ac:dyDescent="0.25">
      <c r="A91" s="47"/>
      <c r="B91" s="55"/>
      <c r="C91" s="9"/>
      <c r="D91" s="136"/>
      <c r="E91" s="56"/>
      <c r="F91" s="57"/>
      <c r="G91" s="72">
        <v>46179</v>
      </c>
      <c r="H91" s="73">
        <v>20</v>
      </c>
      <c r="I91" s="73"/>
      <c r="J91" s="73">
        <v>80</v>
      </c>
      <c r="K91" s="73">
        <v>40</v>
      </c>
      <c r="L91" s="73">
        <v>40</v>
      </c>
      <c r="M91" s="73">
        <v>60</v>
      </c>
      <c r="N91" s="73">
        <v>60</v>
      </c>
      <c r="O91" s="73">
        <v>40</v>
      </c>
      <c r="P91" s="78">
        <f t="shared" ref="P91:P92" si="66">IF(G91="","",SUM(K91:O91))</f>
        <v>240</v>
      </c>
      <c r="Q91" s="78">
        <f>IF(P91="","",Q90+P91)</f>
        <v>11076</v>
      </c>
      <c r="R91" s="74" t="s">
        <v>23</v>
      </c>
    </row>
    <row r="92" spans="1:18" ht="15.95" customHeight="1" x14ac:dyDescent="0.25">
      <c r="A92" s="47"/>
      <c r="B92" s="55"/>
      <c r="C92" s="9"/>
      <c r="D92" s="136"/>
      <c r="E92" s="56"/>
      <c r="F92" s="57"/>
      <c r="G92" s="72">
        <v>46179</v>
      </c>
      <c r="H92" s="73">
        <v>20</v>
      </c>
      <c r="I92" s="73"/>
      <c r="J92" s="73">
        <v>81</v>
      </c>
      <c r="K92" s="73">
        <v>40</v>
      </c>
      <c r="L92" s="73">
        <v>40</v>
      </c>
      <c r="M92" s="73">
        <v>60</v>
      </c>
      <c r="N92" s="73">
        <v>60</v>
      </c>
      <c r="O92" s="73">
        <v>40</v>
      </c>
      <c r="P92" s="78">
        <f t="shared" si="66"/>
        <v>240</v>
      </c>
      <c r="Q92" s="78">
        <f t="shared" ref="Q92" si="67">IF(P92="","",Q91+P92)</f>
        <v>11316</v>
      </c>
      <c r="R92" s="74" t="s">
        <v>23</v>
      </c>
    </row>
    <row r="93" spans="1:18" ht="15.95" customHeight="1" x14ac:dyDescent="0.25">
      <c r="A93" s="47"/>
      <c r="B93" s="55"/>
      <c r="C93" s="9"/>
      <c r="D93" s="136"/>
      <c r="E93" s="56"/>
      <c r="F93" s="57"/>
      <c r="G93" s="72">
        <v>46179</v>
      </c>
      <c r="H93" s="73">
        <v>14</v>
      </c>
      <c r="I93" s="73"/>
      <c r="J93" s="73">
        <v>82</v>
      </c>
      <c r="K93" s="73">
        <v>28</v>
      </c>
      <c r="L93" s="73">
        <v>28</v>
      </c>
      <c r="M93" s="73">
        <v>42</v>
      </c>
      <c r="N93" s="73">
        <v>42</v>
      </c>
      <c r="O93" s="73">
        <v>28</v>
      </c>
      <c r="P93" s="78">
        <f t="shared" ref="P93:P94" si="68">IF(G93="","",SUM(K93:O93))</f>
        <v>168</v>
      </c>
      <c r="Q93" s="78">
        <f t="shared" ref="Q93:Q94" si="69">IF(P93="","",Q92+P93)</f>
        <v>11484</v>
      </c>
      <c r="R93" s="74" t="s">
        <v>23</v>
      </c>
    </row>
    <row r="94" spans="1:18" ht="15.95" customHeight="1" x14ac:dyDescent="0.25">
      <c r="A94" s="47"/>
      <c r="B94" s="55"/>
      <c r="C94" s="9"/>
      <c r="D94" s="136"/>
      <c r="E94" s="56"/>
      <c r="F94" s="57"/>
      <c r="G94" s="72">
        <v>46179</v>
      </c>
      <c r="H94" s="73">
        <v>15</v>
      </c>
      <c r="I94" s="73"/>
      <c r="J94" s="73">
        <v>83</v>
      </c>
      <c r="K94" s="73">
        <v>30</v>
      </c>
      <c r="L94" s="73">
        <v>30</v>
      </c>
      <c r="M94" s="73">
        <v>45</v>
      </c>
      <c r="N94" s="73">
        <v>45</v>
      </c>
      <c r="O94" s="73">
        <v>30</v>
      </c>
      <c r="P94" s="78">
        <f t="shared" si="68"/>
        <v>180</v>
      </c>
      <c r="Q94" s="78">
        <f t="shared" si="69"/>
        <v>11664</v>
      </c>
      <c r="R94" s="74" t="s">
        <v>23</v>
      </c>
    </row>
    <row r="95" spans="1:18" ht="15.95" customHeight="1" x14ac:dyDescent="0.25">
      <c r="A95" s="47"/>
      <c r="B95" s="55"/>
      <c r="C95" s="9"/>
      <c r="D95" s="136"/>
      <c r="E95" s="56"/>
      <c r="F95" s="57"/>
      <c r="G95" s="72">
        <v>46179</v>
      </c>
      <c r="H95" s="73">
        <v>20</v>
      </c>
      <c r="I95" s="73"/>
      <c r="J95" s="73">
        <v>84</v>
      </c>
      <c r="K95" s="73">
        <v>40</v>
      </c>
      <c r="L95" s="73">
        <v>40</v>
      </c>
      <c r="M95" s="73">
        <v>60</v>
      </c>
      <c r="N95" s="73">
        <v>60</v>
      </c>
      <c r="O95" s="73">
        <v>40</v>
      </c>
      <c r="P95" s="78">
        <f t="shared" ref="P95:P96" si="70">IF(G95="","",SUM(K95:O95))</f>
        <v>240</v>
      </c>
      <c r="Q95" s="78">
        <f t="shared" ref="Q95:Q96" si="71">IF(P95="","",Q94+P95)</f>
        <v>11904</v>
      </c>
      <c r="R95" s="74" t="s">
        <v>23</v>
      </c>
    </row>
    <row r="96" spans="1:18" ht="15.95" customHeight="1" x14ac:dyDescent="0.25">
      <c r="A96" s="47"/>
      <c r="B96" s="55"/>
      <c r="C96" s="9"/>
      <c r="D96" s="136"/>
      <c r="E96" s="56"/>
      <c r="F96" s="57"/>
      <c r="G96" s="72">
        <v>46179</v>
      </c>
      <c r="H96" s="73">
        <v>20</v>
      </c>
      <c r="I96" s="73"/>
      <c r="J96" s="73">
        <v>85</v>
      </c>
      <c r="K96" s="73">
        <v>40</v>
      </c>
      <c r="L96" s="73">
        <v>40</v>
      </c>
      <c r="M96" s="73">
        <v>60</v>
      </c>
      <c r="N96" s="73">
        <v>60</v>
      </c>
      <c r="O96" s="73">
        <v>40</v>
      </c>
      <c r="P96" s="78">
        <f t="shared" si="70"/>
        <v>240</v>
      </c>
      <c r="Q96" s="78">
        <f t="shared" si="71"/>
        <v>12144</v>
      </c>
      <c r="R96" s="74" t="s">
        <v>23</v>
      </c>
    </row>
    <row r="97" spans="1:18" ht="15.95" customHeight="1" x14ac:dyDescent="0.25">
      <c r="A97" s="47"/>
      <c r="B97" s="55"/>
      <c r="C97" s="9"/>
      <c r="D97" s="136"/>
      <c r="E97" s="56"/>
      <c r="F97" s="57"/>
      <c r="G97" s="72">
        <v>46179</v>
      </c>
      <c r="H97" s="73">
        <v>20</v>
      </c>
      <c r="I97" s="73"/>
      <c r="J97" s="73">
        <v>86</v>
      </c>
      <c r="K97" s="73">
        <v>40</v>
      </c>
      <c r="L97" s="73">
        <v>40</v>
      </c>
      <c r="M97" s="73">
        <v>60</v>
      </c>
      <c r="N97" s="73">
        <v>60</v>
      </c>
      <c r="O97" s="73">
        <v>40</v>
      </c>
      <c r="P97" s="78">
        <f t="shared" ref="P97:P101" si="72">IF(G97="","",SUM(K97:O97))</f>
        <v>240</v>
      </c>
      <c r="Q97" s="78">
        <f t="shared" ref="Q97:Q98" si="73">IF(P97="","",Q96+P97)</f>
        <v>12384</v>
      </c>
      <c r="R97" s="74" t="s">
        <v>23</v>
      </c>
    </row>
    <row r="98" spans="1:18" ht="15.95" customHeight="1" x14ac:dyDescent="0.25">
      <c r="A98" s="47"/>
      <c r="B98" s="55"/>
      <c r="C98" s="9"/>
      <c r="D98" s="136"/>
      <c r="E98" s="56"/>
      <c r="F98" s="57"/>
      <c r="G98" s="118">
        <v>46179</v>
      </c>
      <c r="H98" s="119">
        <v>20</v>
      </c>
      <c r="I98" s="119"/>
      <c r="J98" s="119">
        <v>87</v>
      </c>
      <c r="K98" s="119">
        <v>40</v>
      </c>
      <c r="L98" s="119">
        <v>40</v>
      </c>
      <c r="M98" s="119">
        <v>60</v>
      </c>
      <c r="N98" s="119">
        <v>60</v>
      </c>
      <c r="O98" s="119">
        <v>40</v>
      </c>
      <c r="P98" s="120">
        <f t="shared" si="72"/>
        <v>240</v>
      </c>
      <c r="Q98" s="120">
        <f t="shared" si="73"/>
        <v>12624</v>
      </c>
      <c r="R98" s="121" t="s">
        <v>23</v>
      </c>
    </row>
    <row r="99" spans="1:18" ht="15.95" customHeight="1" x14ac:dyDescent="0.25">
      <c r="A99" s="47"/>
      <c r="B99" s="55"/>
      <c r="C99" s="9"/>
      <c r="D99" s="136"/>
      <c r="E99" s="56"/>
      <c r="F99" s="57"/>
      <c r="G99" s="72">
        <v>46179</v>
      </c>
      <c r="H99" s="73">
        <v>20</v>
      </c>
      <c r="I99" s="73"/>
      <c r="J99" s="129">
        <v>88</v>
      </c>
      <c r="K99" s="73">
        <v>40</v>
      </c>
      <c r="L99" s="73">
        <v>40</v>
      </c>
      <c r="M99" s="73">
        <v>60</v>
      </c>
      <c r="N99" s="73">
        <v>60</v>
      </c>
      <c r="O99" s="73">
        <v>40</v>
      </c>
      <c r="P99" s="78">
        <f t="shared" ref="P99" si="74">IF(G99="","",SUM(K99:O99))</f>
        <v>240</v>
      </c>
      <c r="Q99" s="78">
        <f t="shared" ref="Q99" si="75">IF(P99="","",Q98+P99)</f>
        <v>12864</v>
      </c>
      <c r="R99" s="74" t="s">
        <v>23</v>
      </c>
    </row>
    <row r="100" spans="1:18" ht="15.95" customHeight="1" x14ac:dyDescent="0.25">
      <c r="A100" s="47"/>
      <c r="B100" s="55"/>
      <c r="C100" s="9"/>
      <c r="D100" s="136"/>
      <c r="E100" s="56"/>
      <c r="F100" s="57"/>
      <c r="G100" s="72">
        <v>46180</v>
      </c>
      <c r="H100" s="73">
        <v>20</v>
      </c>
      <c r="I100" s="73"/>
      <c r="J100" s="73">
        <v>89</v>
      </c>
      <c r="K100" s="73">
        <v>40</v>
      </c>
      <c r="L100" s="73">
        <v>40</v>
      </c>
      <c r="M100" s="73">
        <v>60</v>
      </c>
      <c r="N100" s="73">
        <v>60</v>
      </c>
      <c r="O100" s="73">
        <v>40</v>
      </c>
      <c r="P100" s="78">
        <f t="shared" si="72"/>
        <v>240</v>
      </c>
      <c r="Q100" s="78">
        <f t="shared" ref="Q100:Q102" si="76">IF(P100="","",Q99+P100)</f>
        <v>13104</v>
      </c>
      <c r="R100" s="74" t="s">
        <v>23</v>
      </c>
    </row>
    <row r="101" spans="1:18" ht="15.95" customHeight="1" x14ac:dyDescent="0.25">
      <c r="A101" s="47"/>
      <c r="B101" s="55"/>
      <c r="C101" s="9"/>
      <c r="D101" s="136"/>
      <c r="E101" s="56"/>
      <c r="F101" s="57"/>
      <c r="G101" s="72">
        <v>46180</v>
      </c>
      <c r="H101" s="73">
        <v>10</v>
      </c>
      <c r="I101" s="73"/>
      <c r="J101" s="129">
        <v>90</v>
      </c>
      <c r="K101" s="73">
        <v>20</v>
      </c>
      <c r="L101" s="73">
        <v>20</v>
      </c>
      <c r="M101" s="73">
        <v>30</v>
      </c>
      <c r="N101" s="73">
        <v>30</v>
      </c>
      <c r="O101" s="73">
        <v>20</v>
      </c>
      <c r="P101" s="78">
        <f t="shared" si="72"/>
        <v>120</v>
      </c>
      <c r="Q101" s="78">
        <f t="shared" si="76"/>
        <v>13224</v>
      </c>
      <c r="R101" s="74" t="s">
        <v>23</v>
      </c>
    </row>
    <row r="102" spans="1:18" ht="15.95" customHeight="1" x14ac:dyDescent="0.25">
      <c r="A102" s="47"/>
      <c r="B102" s="55"/>
      <c r="C102" s="9"/>
      <c r="D102" s="136"/>
      <c r="E102" s="56"/>
      <c r="F102" s="57"/>
      <c r="G102" s="72">
        <v>46180</v>
      </c>
      <c r="H102" s="73">
        <v>20</v>
      </c>
      <c r="I102" s="73"/>
      <c r="J102" s="73">
        <v>91</v>
      </c>
      <c r="K102" s="73">
        <v>40</v>
      </c>
      <c r="L102" s="73">
        <v>40</v>
      </c>
      <c r="M102" s="73">
        <v>60</v>
      </c>
      <c r="N102" s="73">
        <v>60</v>
      </c>
      <c r="O102" s="73">
        <v>40</v>
      </c>
      <c r="P102" s="78">
        <f t="shared" ref="P102" si="77">IF(G102="","",SUM(K102:O102))</f>
        <v>240</v>
      </c>
      <c r="Q102" s="78">
        <f t="shared" si="76"/>
        <v>13464</v>
      </c>
      <c r="R102" s="74" t="s">
        <v>23</v>
      </c>
    </row>
    <row r="103" spans="1:18" ht="15.95" customHeight="1" x14ac:dyDescent="0.25">
      <c r="A103" s="47"/>
      <c r="B103" s="55"/>
      <c r="C103" s="9"/>
      <c r="D103" s="136"/>
      <c r="E103" s="56"/>
      <c r="F103" s="57"/>
      <c r="G103" s="72">
        <v>46180</v>
      </c>
      <c r="H103" s="73">
        <v>20</v>
      </c>
      <c r="I103" s="73"/>
      <c r="J103" s="73">
        <v>92</v>
      </c>
      <c r="K103" s="73">
        <v>40</v>
      </c>
      <c r="L103" s="73">
        <v>40</v>
      </c>
      <c r="M103" s="73">
        <v>60</v>
      </c>
      <c r="N103" s="73">
        <v>60</v>
      </c>
      <c r="O103" s="73">
        <v>40</v>
      </c>
      <c r="P103" s="78">
        <f t="shared" ref="P103:P104" si="78">IF(G103="","",SUM(K103:O103))</f>
        <v>240</v>
      </c>
      <c r="Q103" s="78">
        <f t="shared" ref="Q103:Q104" si="79">IF(P103="","",Q102+P103)</f>
        <v>13704</v>
      </c>
      <c r="R103" s="74" t="s">
        <v>23</v>
      </c>
    </row>
    <row r="104" spans="1:18" ht="15.95" customHeight="1" x14ac:dyDescent="0.25">
      <c r="A104" s="47"/>
      <c r="B104" s="55"/>
      <c r="C104" s="9"/>
      <c r="D104" s="136"/>
      <c r="E104" s="56"/>
      <c r="F104" s="57"/>
      <c r="G104" s="72">
        <v>46181</v>
      </c>
      <c r="H104" s="73">
        <v>20</v>
      </c>
      <c r="I104" s="73"/>
      <c r="J104" s="73">
        <v>93</v>
      </c>
      <c r="K104" s="73">
        <v>40</v>
      </c>
      <c r="L104" s="73">
        <v>40</v>
      </c>
      <c r="M104" s="73">
        <v>60</v>
      </c>
      <c r="N104" s="73">
        <v>60</v>
      </c>
      <c r="O104" s="73">
        <v>40</v>
      </c>
      <c r="P104" s="78">
        <f t="shared" si="78"/>
        <v>240</v>
      </c>
      <c r="Q104" s="78">
        <f t="shared" si="79"/>
        <v>13944</v>
      </c>
      <c r="R104" s="74" t="s">
        <v>23</v>
      </c>
    </row>
    <row r="105" spans="1:18" ht="15.95" customHeight="1" x14ac:dyDescent="0.25">
      <c r="A105" s="47"/>
      <c r="B105" s="55"/>
      <c r="C105" s="9"/>
      <c r="D105" s="136"/>
      <c r="E105" s="56"/>
      <c r="F105" s="57"/>
      <c r="G105" s="72">
        <v>46181</v>
      </c>
      <c r="H105" s="73">
        <v>20</v>
      </c>
      <c r="I105" s="73"/>
      <c r="J105" s="73">
        <v>94</v>
      </c>
      <c r="K105" s="73">
        <v>40</v>
      </c>
      <c r="L105" s="73">
        <v>40</v>
      </c>
      <c r="M105" s="73">
        <v>60</v>
      </c>
      <c r="N105" s="73">
        <v>60</v>
      </c>
      <c r="O105" s="73">
        <v>40</v>
      </c>
      <c r="P105" s="78">
        <f t="shared" ref="P105:P106" si="80">IF(G105="","",SUM(K105:O105))</f>
        <v>240</v>
      </c>
      <c r="Q105" s="78">
        <f t="shared" ref="Q105:Q106" si="81">IF(P105="","",Q104+P105)</f>
        <v>14184</v>
      </c>
      <c r="R105" s="74" t="s">
        <v>23</v>
      </c>
    </row>
    <row r="106" spans="1:18" ht="15.95" customHeight="1" x14ac:dyDescent="0.25">
      <c r="A106" s="47"/>
      <c r="B106" s="55"/>
      <c r="C106" s="9"/>
      <c r="D106" s="136"/>
      <c r="E106" s="56"/>
      <c r="F106" s="57"/>
      <c r="G106" s="72">
        <v>46181</v>
      </c>
      <c r="H106" s="73">
        <v>21</v>
      </c>
      <c r="I106" s="73"/>
      <c r="J106" s="73">
        <v>95</v>
      </c>
      <c r="K106" s="73">
        <v>42</v>
      </c>
      <c r="L106" s="73">
        <v>42</v>
      </c>
      <c r="M106" s="73">
        <v>63</v>
      </c>
      <c r="N106" s="73">
        <v>63</v>
      </c>
      <c r="O106" s="73">
        <v>42</v>
      </c>
      <c r="P106" s="78">
        <f t="shared" si="80"/>
        <v>252</v>
      </c>
      <c r="Q106" s="78">
        <f t="shared" si="81"/>
        <v>14436</v>
      </c>
      <c r="R106" s="74" t="s">
        <v>23</v>
      </c>
    </row>
    <row r="107" spans="1:18" ht="15.95" customHeight="1" x14ac:dyDescent="0.25">
      <c r="A107" s="47"/>
      <c r="B107" s="55"/>
      <c r="C107" s="9"/>
      <c r="D107" s="136"/>
      <c r="E107" s="56"/>
      <c r="F107" s="57"/>
      <c r="G107" s="72">
        <v>46181</v>
      </c>
      <c r="H107" s="73">
        <v>20</v>
      </c>
      <c r="I107" s="73"/>
      <c r="J107" s="73">
        <v>96</v>
      </c>
      <c r="K107" s="73">
        <v>40</v>
      </c>
      <c r="L107" s="73">
        <v>40</v>
      </c>
      <c r="M107" s="73">
        <v>60</v>
      </c>
      <c r="N107" s="73">
        <v>60</v>
      </c>
      <c r="O107" s="73">
        <v>40</v>
      </c>
      <c r="P107" s="78">
        <f t="shared" ref="P107" si="82">IF(G107="","",SUM(K107:O107))</f>
        <v>240</v>
      </c>
      <c r="Q107" s="78">
        <f t="shared" ref="Q107" si="83">IF(P107="","",Q106+P107)</f>
        <v>14676</v>
      </c>
      <c r="R107" s="74" t="s">
        <v>23</v>
      </c>
    </row>
    <row r="108" spans="1:18" ht="15.95" customHeight="1" x14ac:dyDescent="0.25">
      <c r="A108" s="47"/>
      <c r="B108" s="55"/>
      <c r="C108" s="9"/>
      <c r="D108" s="136"/>
      <c r="E108" s="56"/>
      <c r="F108" s="57"/>
      <c r="G108" s="72">
        <v>46181</v>
      </c>
      <c r="H108" s="73">
        <v>20</v>
      </c>
      <c r="I108" s="73"/>
      <c r="J108" s="73">
        <v>97</v>
      </c>
      <c r="K108" s="73">
        <v>40</v>
      </c>
      <c r="L108" s="73">
        <v>40</v>
      </c>
      <c r="M108" s="73">
        <v>60</v>
      </c>
      <c r="N108" s="73">
        <v>60</v>
      </c>
      <c r="O108" s="73">
        <v>40</v>
      </c>
      <c r="P108" s="78">
        <f t="shared" ref="P108:P110" si="84">IF(G108="","",SUM(K108:O108))</f>
        <v>240</v>
      </c>
      <c r="Q108" s="78">
        <f t="shared" ref="Q108:Q112" si="85">IF(P108="","",Q107+P108)</f>
        <v>14916</v>
      </c>
      <c r="R108" s="74" t="s">
        <v>23</v>
      </c>
    </row>
    <row r="109" spans="1:18" ht="15.95" customHeight="1" x14ac:dyDescent="0.25">
      <c r="A109" s="47"/>
      <c r="B109" s="55"/>
      <c r="C109" s="9"/>
      <c r="D109" s="136"/>
      <c r="E109" s="56"/>
      <c r="F109" s="57"/>
      <c r="G109" s="72">
        <v>46181</v>
      </c>
      <c r="H109" s="73">
        <v>20</v>
      </c>
      <c r="I109" s="73"/>
      <c r="J109" s="73">
        <v>98</v>
      </c>
      <c r="K109" s="73">
        <v>40</v>
      </c>
      <c r="L109" s="73">
        <v>40</v>
      </c>
      <c r="M109" s="73">
        <v>60</v>
      </c>
      <c r="N109" s="73">
        <v>60</v>
      </c>
      <c r="O109" s="73">
        <v>40</v>
      </c>
      <c r="P109" s="78">
        <f t="shared" si="84"/>
        <v>240</v>
      </c>
      <c r="Q109" s="78">
        <f t="shared" si="85"/>
        <v>15156</v>
      </c>
      <c r="R109" s="74" t="s">
        <v>23</v>
      </c>
    </row>
    <row r="110" spans="1:18" ht="15.95" customHeight="1" x14ac:dyDescent="0.25">
      <c r="A110" s="47"/>
      <c r="B110" s="55"/>
      <c r="C110" s="9"/>
      <c r="D110" s="136"/>
      <c r="E110" s="56"/>
      <c r="F110" s="57"/>
      <c r="G110" s="72">
        <v>46181</v>
      </c>
      <c r="H110" s="73">
        <v>20</v>
      </c>
      <c r="I110" s="73"/>
      <c r="J110" s="73">
        <v>99</v>
      </c>
      <c r="K110" s="73">
        <v>40</v>
      </c>
      <c r="L110" s="73">
        <v>40</v>
      </c>
      <c r="M110" s="73">
        <v>60</v>
      </c>
      <c r="N110" s="73">
        <v>60</v>
      </c>
      <c r="O110" s="73">
        <v>40</v>
      </c>
      <c r="P110" s="78">
        <f t="shared" si="84"/>
        <v>240</v>
      </c>
      <c r="Q110" s="78">
        <f t="shared" si="85"/>
        <v>15396</v>
      </c>
      <c r="R110" s="74" t="s">
        <v>23</v>
      </c>
    </row>
    <row r="111" spans="1:18" ht="15.95" customHeight="1" x14ac:dyDescent="0.25">
      <c r="A111" s="47"/>
      <c r="B111" s="55"/>
      <c r="C111" s="9"/>
      <c r="D111" s="136"/>
      <c r="E111" s="56"/>
      <c r="F111" s="57"/>
      <c r="G111" s="72">
        <v>46181</v>
      </c>
      <c r="H111" s="73">
        <v>20</v>
      </c>
      <c r="I111" s="73"/>
      <c r="J111" s="73">
        <v>1</v>
      </c>
      <c r="K111" s="73">
        <v>40</v>
      </c>
      <c r="L111" s="73">
        <v>40</v>
      </c>
      <c r="M111" s="73">
        <v>60</v>
      </c>
      <c r="N111" s="73">
        <v>60</v>
      </c>
      <c r="O111" s="73">
        <v>40</v>
      </c>
      <c r="P111" s="78">
        <f t="shared" ref="P111:P112" si="86">IF(G111="","",SUM(K111:O111))</f>
        <v>240</v>
      </c>
      <c r="Q111" s="78">
        <f t="shared" si="85"/>
        <v>15636</v>
      </c>
      <c r="R111" s="74" t="s">
        <v>23</v>
      </c>
    </row>
    <row r="112" spans="1:18" ht="15.95" customHeight="1" x14ac:dyDescent="0.25">
      <c r="A112" s="47"/>
      <c r="B112" s="55"/>
      <c r="C112" s="9"/>
      <c r="D112" s="136"/>
      <c r="E112" s="56"/>
      <c r="F112" s="57"/>
      <c r="G112" s="72">
        <v>46181</v>
      </c>
      <c r="H112" s="73">
        <v>20</v>
      </c>
      <c r="I112" s="73"/>
      <c r="J112" s="73">
        <v>2</v>
      </c>
      <c r="K112" s="73">
        <v>40</v>
      </c>
      <c r="L112" s="73">
        <v>40</v>
      </c>
      <c r="M112" s="73">
        <v>60</v>
      </c>
      <c r="N112" s="73">
        <v>60</v>
      </c>
      <c r="O112" s="73">
        <v>40</v>
      </c>
      <c r="P112" s="78">
        <f t="shared" si="86"/>
        <v>240</v>
      </c>
      <c r="Q112" s="78">
        <f t="shared" si="85"/>
        <v>15876</v>
      </c>
      <c r="R112" s="74" t="s">
        <v>23</v>
      </c>
    </row>
    <row r="113" spans="1:18" ht="15.95" customHeight="1" x14ac:dyDescent="0.25">
      <c r="A113" s="47"/>
      <c r="B113" s="55"/>
      <c r="C113" s="9"/>
      <c r="D113" s="136"/>
      <c r="E113" s="56"/>
      <c r="F113" s="57"/>
      <c r="G113" s="72">
        <v>46181</v>
      </c>
      <c r="H113" s="73">
        <v>20</v>
      </c>
      <c r="I113" s="73"/>
      <c r="J113" s="73">
        <v>3</v>
      </c>
      <c r="K113" s="73">
        <v>40</v>
      </c>
      <c r="L113" s="73">
        <v>40</v>
      </c>
      <c r="M113" s="73">
        <v>60</v>
      </c>
      <c r="N113" s="73">
        <v>60</v>
      </c>
      <c r="O113" s="73">
        <v>40</v>
      </c>
      <c r="P113" s="78">
        <f t="shared" ref="P113" si="87">IF(G113="","",SUM(K113:O113))</f>
        <v>240</v>
      </c>
      <c r="Q113" s="78">
        <f t="shared" ref="Q113" si="88">IF(P113="","",Q112+P113)</f>
        <v>16116</v>
      </c>
      <c r="R113" s="74" t="s">
        <v>23</v>
      </c>
    </row>
    <row r="114" spans="1:18" ht="15.95" customHeight="1" x14ac:dyDescent="0.25">
      <c r="A114" s="47"/>
      <c r="B114" s="55"/>
      <c r="C114" s="9"/>
      <c r="D114" s="136"/>
      <c r="E114" s="56"/>
      <c r="F114" s="57"/>
      <c r="G114" s="72">
        <v>46181</v>
      </c>
      <c r="H114" s="73">
        <v>20</v>
      </c>
      <c r="I114" s="73"/>
      <c r="J114" s="73">
        <v>4</v>
      </c>
      <c r="K114" s="73">
        <v>40</v>
      </c>
      <c r="L114" s="73">
        <v>40</v>
      </c>
      <c r="M114" s="73">
        <v>60</v>
      </c>
      <c r="N114" s="73">
        <v>60</v>
      </c>
      <c r="O114" s="73">
        <v>40</v>
      </c>
      <c r="P114" s="78">
        <f t="shared" ref="P114:P118" si="89">IF(G114="","",SUM(K114:O114))</f>
        <v>240</v>
      </c>
      <c r="Q114" s="78">
        <f t="shared" ref="Q114:Q118" si="90">IF(P114="","",Q113+P114)</f>
        <v>16356</v>
      </c>
      <c r="R114" s="74" t="s">
        <v>23</v>
      </c>
    </row>
    <row r="115" spans="1:18" ht="15.95" customHeight="1" x14ac:dyDescent="0.25">
      <c r="A115" s="47"/>
      <c r="B115" s="55"/>
      <c r="C115" s="9"/>
      <c r="D115" s="136"/>
      <c r="E115" s="56"/>
      <c r="F115" s="57"/>
      <c r="G115" s="72">
        <v>46182</v>
      </c>
      <c r="H115" s="73">
        <v>22</v>
      </c>
      <c r="I115" s="73"/>
      <c r="J115" s="73">
        <v>5</v>
      </c>
      <c r="K115" s="73">
        <v>44</v>
      </c>
      <c r="L115" s="73">
        <v>44</v>
      </c>
      <c r="M115" s="73">
        <v>66</v>
      </c>
      <c r="N115" s="73">
        <v>66</v>
      </c>
      <c r="O115" s="73">
        <v>44</v>
      </c>
      <c r="P115" s="78">
        <f t="shared" ref="P115" si="91">IF(G115="","",SUM(K115:O115))</f>
        <v>264</v>
      </c>
      <c r="Q115" s="78">
        <f t="shared" ref="Q115" si="92">IF(P115="","",Q114+P115)</f>
        <v>16620</v>
      </c>
      <c r="R115" s="74" t="s">
        <v>23</v>
      </c>
    </row>
    <row r="116" spans="1:18" ht="15.95" customHeight="1" x14ac:dyDescent="0.25">
      <c r="A116" s="47"/>
      <c r="B116" s="55"/>
      <c r="C116" s="9"/>
      <c r="D116" s="136"/>
      <c r="E116" s="56"/>
      <c r="F116" s="57"/>
      <c r="G116" s="72">
        <v>46182</v>
      </c>
      <c r="H116" s="73">
        <v>22</v>
      </c>
      <c r="I116" s="73"/>
      <c r="J116" s="73">
        <v>6</v>
      </c>
      <c r="K116" s="73">
        <v>44</v>
      </c>
      <c r="L116" s="73">
        <v>44</v>
      </c>
      <c r="M116" s="73">
        <v>66</v>
      </c>
      <c r="N116" s="73">
        <v>66</v>
      </c>
      <c r="O116" s="73">
        <v>44</v>
      </c>
      <c r="P116" s="78">
        <f t="shared" si="89"/>
        <v>264</v>
      </c>
      <c r="Q116" s="78">
        <f t="shared" si="90"/>
        <v>16884</v>
      </c>
      <c r="R116" s="74" t="s">
        <v>23</v>
      </c>
    </row>
    <row r="117" spans="1:18" ht="15.95" customHeight="1" x14ac:dyDescent="0.25">
      <c r="A117" s="47"/>
      <c r="B117" s="55"/>
      <c r="C117" s="9"/>
      <c r="D117" s="136"/>
      <c r="E117" s="56"/>
      <c r="F117" s="57"/>
      <c r="G117" s="72">
        <v>46182</v>
      </c>
      <c r="H117" s="73">
        <v>21</v>
      </c>
      <c r="I117" s="73"/>
      <c r="J117" s="73">
        <v>7</v>
      </c>
      <c r="K117" s="73">
        <v>42</v>
      </c>
      <c r="L117" s="73">
        <v>42</v>
      </c>
      <c r="M117" s="73">
        <f>21*3</f>
        <v>63</v>
      </c>
      <c r="N117" s="73">
        <f>21*3</f>
        <v>63</v>
      </c>
      <c r="O117" s="73">
        <f>21*2</f>
        <v>42</v>
      </c>
      <c r="P117" s="78">
        <f t="shared" si="89"/>
        <v>252</v>
      </c>
      <c r="Q117" s="78">
        <f t="shared" si="90"/>
        <v>17136</v>
      </c>
      <c r="R117" s="74" t="s">
        <v>23</v>
      </c>
    </row>
    <row r="118" spans="1:18" ht="15.95" customHeight="1" thickBot="1" x14ac:dyDescent="0.3">
      <c r="A118" s="47"/>
      <c r="B118" s="55"/>
      <c r="C118" s="9"/>
      <c r="D118" s="136"/>
      <c r="E118" s="56"/>
      <c r="F118" s="57"/>
      <c r="G118" s="72"/>
      <c r="H118" s="73"/>
      <c r="I118" s="73"/>
      <c r="J118" s="73"/>
      <c r="K118" s="73"/>
      <c r="L118" s="73"/>
      <c r="M118" s="73"/>
      <c r="N118" s="73"/>
      <c r="O118" s="73"/>
      <c r="P118" s="78" t="str">
        <f t="shared" si="89"/>
        <v/>
      </c>
      <c r="Q118" s="78" t="str">
        <f t="shared" si="90"/>
        <v/>
      </c>
      <c r="R118" s="74"/>
    </row>
    <row r="119" spans="1:18" ht="19.5" customHeight="1" thickBot="1" x14ac:dyDescent="0.3">
      <c r="A119" s="48"/>
      <c r="B119" s="58"/>
      <c r="C119" s="58"/>
      <c r="D119" s="138"/>
      <c r="E119" s="59"/>
      <c r="F119" s="58"/>
      <c r="G119" s="19"/>
      <c r="H119" s="20"/>
      <c r="I119" s="21"/>
      <c r="J119" s="22" t="s">
        <v>11</v>
      </c>
      <c r="K119" s="38">
        <f>SUM(K46:K118)</f>
        <v>2856</v>
      </c>
      <c r="L119" s="38">
        <f>SUM(L46:L118)</f>
        <v>2856</v>
      </c>
      <c r="M119" s="38">
        <f>SUM(M46:M118)</f>
        <v>4284</v>
      </c>
      <c r="N119" s="38">
        <f>SUM(N46:N118)</f>
        <v>4284</v>
      </c>
      <c r="O119" s="38">
        <f>SUM(O46:O118)</f>
        <v>2856</v>
      </c>
      <c r="P119" s="38">
        <f>SUM(K119:O119)</f>
        <v>17136</v>
      </c>
      <c r="Q119" s="23"/>
      <c r="R119" s="82"/>
    </row>
    <row r="120" spans="1:18" ht="18.75" customHeight="1" thickBot="1" x14ac:dyDescent="0.3">
      <c r="A120" s="49"/>
      <c r="B120" s="60"/>
      <c r="C120" s="60"/>
      <c r="D120" s="139"/>
      <c r="E120" s="60"/>
      <c r="F120" s="60"/>
      <c r="G120" s="24"/>
      <c r="H120" s="24"/>
      <c r="I120" s="25"/>
      <c r="J120" s="26" t="s">
        <v>12</v>
      </c>
      <c r="K120" s="39">
        <f>IF(K44="","",K119-K44)</f>
        <v>28</v>
      </c>
      <c r="L120" s="39">
        <f>IF(L44="","",L119-L44)</f>
        <v>28</v>
      </c>
      <c r="M120" s="39">
        <f>IF(M44="","",M119-M44)</f>
        <v>42</v>
      </c>
      <c r="N120" s="39">
        <f>IF(N44="","",N119-N44)</f>
        <v>42</v>
      </c>
      <c r="O120" s="39">
        <f>IF(O44="","",O119-O44)</f>
        <v>28</v>
      </c>
      <c r="P120" s="39">
        <f>SUM(K120:O120)</f>
        <v>168</v>
      </c>
      <c r="Q120" s="27"/>
      <c r="R120" s="83"/>
    </row>
    <row r="121" spans="1:18" ht="18.75" customHeight="1" x14ac:dyDescent="0.25">
      <c r="A121" s="43"/>
      <c r="E121" s="43"/>
      <c r="I121"/>
      <c r="J121" s="130"/>
      <c r="K121" s="131"/>
      <c r="L121" s="131"/>
      <c r="M121" s="131"/>
      <c r="N121" s="131"/>
      <c r="O121" s="131"/>
      <c r="P121" s="131"/>
      <c r="Q121" s="29"/>
    </row>
    <row r="122" spans="1:18" s="1" customFormat="1" ht="18.75" customHeight="1" thickBot="1" x14ac:dyDescent="0.35">
      <c r="A122" s="46"/>
      <c r="B122" s="41"/>
      <c r="C122" s="41"/>
      <c r="D122" s="133"/>
      <c r="E122" s="41"/>
      <c r="F122" s="41"/>
      <c r="I122" s="90" t="s">
        <v>26</v>
      </c>
      <c r="K122" s="30"/>
      <c r="L122" s="30"/>
      <c r="M122" s="30"/>
      <c r="N122" s="30"/>
      <c r="O122" s="30"/>
      <c r="P122" s="30"/>
      <c r="Q122" s="30"/>
      <c r="R122" s="81"/>
    </row>
    <row r="123" spans="1:18" s="2" customFormat="1" ht="27" customHeight="1" thickBot="1" x14ac:dyDescent="0.25">
      <c r="A123" s="91"/>
      <c r="B123" s="51"/>
      <c r="C123" s="51"/>
      <c r="D123" s="134"/>
      <c r="E123" s="52"/>
      <c r="F123" s="53"/>
      <c r="G123" s="15"/>
      <c r="H123" s="15"/>
      <c r="I123" s="15"/>
      <c r="J123" s="16" t="s">
        <v>16</v>
      </c>
      <c r="K123" s="17">
        <v>2612</v>
      </c>
      <c r="L123" s="17">
        <v>2612</v>
      </c>
      <c r="M123" s="17">
        <v>3918</v>
      </c>
      <c r="N123" s="17">
        <v>3918</v>
      </c>
      <c r="O123" s="17">
        <v>2612</v>
      </c>
      <c r="P123" s="18">
        <f>SUM(K123:O123)</f>
        <v>15672</v>
      </c>
      <c r="Q123" s="37"/>
      <c r="R123" s="76">
        <v>46215</v>
      </c>
    </row>
    <row r="124" spans="1:18" s="13" customFormat="1" ht="30.75" customHeight="1" thickBot="1" x14ac:dyDescent="0.2">
      <c r="A124" s="44" t="s">
        <v>17</v>
      </c>
      <c r="B124" s="50" t="s">
        <v>13</v>
      </c>
      <c r="C124" s="50" t="s">
        <v>14</v>
      </c>
      <c r="D124" s="135" t="s">
        <v>9</v>
      </c>
      <c r="E124" s="50" t="s">
        <v>22</v>
      </c>
      <c r="F124" s="50" t="s">
        <v>8</v>
      </c>
      <c r="G124" s="10" t="s">
        <v>7</v>
      </c>
      <c r="H124" s="10" t="s">
        <v>5</v>
      </c>
      <c r="I124" s="10" t="s">
        <v>6</v>
      </c>
      <c r="J124" s="11" t="s">
        <v>4</v>
      </c>
      <c r="K124" s="14" t="s">
        <v>28</v>
      </c>
      <c r="L124" s="14" t="s">
        <v>29</v>
      </c>
      <c r="M124" s="14" t="s">
        <v>1</v>
      </c>
      <c r="N124" s="14" t="s">
        <v>24</v>
      </c>
      <c r="O124" s="14" t="s">
        <v>25</v>
      </c>
      <c r="P124" s="12" t="s">
        <v>10</v>
      </c>
      <c r="Q124" s="12" t="s">
        <v>3</v>
      </c>
      <c r="R124" s="85" t="s">
        <v>0</v>
      </c>
    </row>
    <row r="125" spans="1:18" s="3" customFormat="1" ht="15.95" customHeight="1" x14ac:dyDescent="0.2">
      <c r="A125" s="86" t="s">
        <v>32</v>
      </c>
      <c r="B125" s="87" t="s">
        <v>31</v>
      </c>
      <c r="C125" s="87">
        <v>14223</v>
      </c>
      <c r="D125" s="87" t="s">
        <v>33</v>
      </c>
      <c r="E125" s="88">
        <f>P123</f>
        <v>15672</v>
      </c>
      <c r="F125" s="89"/>
      <c r="G125" s="4">
        <v>46183</v>
      </c>
      <c r="H125" s="5">
        <v>20</v>
      </c>
      <c r="I125" s="5"/>
      <c r="J125" s="5">
        <v>8</v>
      </c>
      <c r="K125" s="5">
        <v>40</v>
      </c>
      <c r="L125" s="5">
        <v>40</v>
      </c>
      <c r="M125" s="5">
        <v>60</v>
      </c>
      <c r="N125" s="5">
        <v>60</v>
      </c>
      <c r="O125" s="5">
        <v>40</v>
      </c>
      <c r="P125" s="6">
        <f>IF(G125="","",SUM(K125:O125))</f>
        <v>240</v>
      </c>
      <c r="Q125" s="7">
        <f>IF(P125="","",P125)</f>
        <v>240</v>
      </c>
      <c r="R125" s="79" t="s">
        <v>23</v>
      </c>
    </row>
    <row r="126" spans="1:18" ht="15.95" customHeight="1" x14ac:dyDescent="0.25">
      <c r="A126" s="47" t="s">
        <v>37</v>
      </c>
      <c r="B126" s="55"/>
      <c r="C126" s="9"/>
      <c r="D126" s="136" t="s">
        <v>42</v>
      </c>
      <c r="E126" s="56"/>
      <c r="F126" s="57"/>
      <c r="G126" s="8">
        <v>46183</v>
      </c>
      <c r="H126" s="9">
        <v>20</v>
      </c>
      <c r="I126" s="9"/>
      <c r="J126" s="9">
        <v>9</v>
      </c>
      <c r="K126" s="9">
        <v>40</v>
      </c>
      <c r="L126" s="9">
        <v>40</v>
      </c>
      <c r="M126" s="9">
        <v>60</v>
      </c>
      <c r="N126" s="9">
        <v>60</v>
      </c>
      <c r="O126" s="9">
        <v>40</v>
      </c>
      <c r="P126" s="6">
        <f>IF(G126="","",SUM(K126:O126))</f>
        <v>240</v>
      </c>
      <c r="Q126" s="6">
        <f>IF(P126="","",Q125+P126)</f>
        <v>480</v>
      </c>
      <c r="R126" s="42" t="s">
        <v>23</v>
      </c>
    </row>
    <row r="127" spans="1:18" ht="15.95" customHeight="1" x14ac:dyDescent="0.25">
      <c r="A127" s="47"/>
      <c r="B127" s="55"/>
      <c r="C127" s="9"/>
      <c r="D127" s="137"/>
      <c r="E127" s="56"/>
      <c r="F127" s="57"/>
      <c r="G127" s="4">
        <v>46183</v>
      </c>
      <c r="H127" s="5">
        <v>20</v>
      </c>
      <c r="I127" s="5"/>
      <c r="J127" s="5">
        <v>10</v>
      </c>
      <c r="K127" s="5">
        <v>40</v>
      </c>
      <c r="L127" s="5">
        <v>40</v>
      </c>
      <c r="M127" s="5">
        <v>60</v>
      </c>
      <c r="N127" s="5">
        <v>60</v>
      </c>
      <c r="O127" s="5">
        <v>40</v>
      </c>
      <c r="P127" s="6">
        <f>IF(G127="","",SUM(K127:O127))</f>
        <v>240</v>
      </c>
      <c r="Q127" s="6">
        <f t="shared" ref="Q127:Q128" si="93">IF(P127="","",Q126+P127)</f>
        <v>720</v>
      </c>
      <c r="R127" s="42" t="s">
        <v>23</v>
      </c>
    </row>
    <row r="128" spans="1:18" ht="15.95" customHeight="1" x14ac:dyDescent="0.25">
      <c r="A128" s="47"/>
      <c r="B128" s="55"/>
      <c r="C128" s="9"/>
      <c r="D128" s="136"/>
      <c r="E128" s="56"/>
      <c r="F128" s="57"/>
      <c r="G128" s="8">
        <v>46184</v>
      </c>
      <c r="H128" s="9">
        <v>20</v>
      </c>
      <c r="I128" s="9"/>
      <c r="J128" s="9">
        <v>11</v>
      </c>
      <c r="K128" s="9">
        <v>40</v>
      </c>
      <c r="L128" s="9">
        <v>40</v>
      </c>
      <c r="M128" s="9">
        <v>60</v>
      </c>
      <c r="N128" s="9">
        <v>60</v>
      </c>
      <c r="O128" s="9">
        <v>40</v>
      </c>
      <c r="P128" s="6">
        <f t="shared" ref="P128:P131" si="94">IF(G128="","",SUM(K128:O128))</f>
        <v>240</v>
      </c>
      <c r="Q128" s="6">
        <f t="shared" si="93"/>
        <v>960</v>
      </c>
      <c r="R128" s="42" t="s">
        <v>23</v>
      </c>
    </row>
    <row r="129" spans="1:18" ht="15.95" customHeight="1" x14ac:dyDescent="0.25">
      <c r="A129" s="47"/>
      <c r="B129" s="55"/>
      <c r="C129" s="9"/>
      <c r="D129" s="136"/>
      <c r="E129" s="56"/>
      <c r="F129" s="57"/>
      <c r="G129" s="4">
        <v>46184</v>
      </c>
      <c r="H129" s="5">
        <v>20</v>
      </c>
      <c r="I129" s="5"/>
      <c r="J129" s="5">
        <v>12</v>
      </c>
      <c r="K129" s="5">
        <v>40</v>
      </c>
      <c r="L129" s="5">
        <v>40</v>
      </c>
      <c r="M129" s="5">
        <v>60</v>
      </c>
      <c r="N129" s="5">
        <v>60</v>
      </c>
      <c r="O129" s="5">
        <v>40</v>
      </c>
      <c r="P129" s="6">
        <f t="shared" si="94"/>
        <v>240</v>
      </c>
      <c r="Q129" s="6">
        <f t="shared" ref="Q129:Q131" si="95">IF(P129="","",Q128+P129)</f>
        <v>1200</v>
      </c>
      <c r="R129" s="42" t="s">
        <v>23</v>
      </c>
    </row>
    <row r="130" spans="1:18" ht="15.95" customHeight="1" x14ac:dyDescent="0.25">
      <c r="A130" s="47"/>
      <c r="B130" s="55"/>
      <c r="C130" s="9"/>
      <c r="D130" s="136"/>
      <c r="E130" s="56"/>
      <c r="F130" s="57"/>
      <c r="G130" s="8">
        <v>46184</v>
      </c>
      <c r="H130" s="9">
        <v>20</v>
      </c>
      <c r="I130" s="9"/>
      <c r="J130" s="9">
        <v>13</v>
      </c>
      <c r="K130" s="9">
        <v>40</v>
      </c>
      <c r="L130" s="9">
        <v>40</v>
      </c>
      <c r="M130" s="9">
        <v>60</v>
      </c>
      <c r="N130" s="9">
        <v>60</v>
      </c>
      <c r="O130" s="9">
        <v>40</v>
      </c>
      <c r="P130" s="6">
        <f t="shared" si="94"/>
        <v>240</v>
      </c>
      <c r="Q130" s="6">
        <f t="shared" si="95"/>
        <v>1440</v>
      </c>
      <c r="R130" s="42" t="s">
        <v>23</v>
      </c>
    </row>
    <row r="131" spans="1:18" ht="15.95" customHeight="1" x14ac:dyDescent="0.25">
      <c r="A131" s="47"/>
      <c r="B131" s="55"/>
      <c r="C131" s="9"/>
      <c r="D131" s="136"/>
      <c r="E131" s="56"/>
      <c r="F131" s="57"/>
      <c r="G131" s="4">
        <v>46184</v>
      </c>
      <c r="H131" s="5">
        <v>20</v>
      </c>
      <c r="I131" s="5"/>
      <c r="J131" s="5">
        <v>14</v>
      </c>
      <c r="K131" s="5">
        <v>40</v>
      </c>
      <c r="L131" s="5">
        <v>40</v>
      </c>
      <c r="M131" s="5">
        <v>60</v>
      </c>
      <c r="N131" s="5">
        <v>60</v>
      </c>
      <c r="O131" s="5">
        <v>40</v>
      </c>
      <c r="P131" s="6">
        <f t="shared" si="94"/>
        <v>240</v>
      </c>
      <c r="Q131" s="6">
        <f t="shared" si="95"/>
        <v>1680</v>
      </c>
      <c r="R131" s="42" t="s">
        <v>23</v>
      </c>
    </row>
    <row r="132" spans="1:18" ht="15.95" customHeight="1" x14ac:dyDescent="0.25">
      <c r="A132" s="47"/>
      <c r="B132" s="55"/>
      <c r="C132" s="9"/>
      <c r="D132" s="136"/>
      <c r="E132" s="56"/>
      <c r="F132" s="57"/>
      <c r="G132" s="8">
        <v>46184</v>
      </c>
      <c r="H132" s="9">
        <v>20</v>
      </c>
      <c r="I132" s="9"/>
      <c r="J132" s="9">
        <v>15</v>
      </c>
      <c r="K132" s="9">
        <v>40</v>
      </c>
      <c r="L132" s="9">
        <v>40</v>
      </c>
      <c r="M132" s="9">
        <v>60</v>
      </c>
      <c r="N132" s="9">
        <v>60</v>
      </c>
      <c r="O132" s="9">
        <v>40</v>
      </c>
      <c r="P132" s="6">
        <f t="shared" ref="P132:P136" si="96">IF(G132="","",SUM(K132:O132))</f>
        <v>240</v>
      </c>
      <c r="Q132" s="6">
        <f t="shared" ref="Q132:Q136" si="97">IF(P132="","",Q131+P132)</f>
        <v>1920</v>
      </c>
      <c r="R132" s="42" t="s">
        <v>23</v>
      </c>
    </row>
    <row r="133" spans="1:18" ht="15.95" customHeight="1" x14ac:dyDescent="0.25">
      <c r="A133" s="47"/>
      <c r="B133" s="55"/>
      <c r="C133" s="9"/>
      <c r="D133" s="136"/>
      <c r="E133" s="56"/>
      <c r="F133" s="57"/>
      <c r="G133" s="4">
        <v>46184</v>
      </c>
      <c r="H133" s="5">
        <v>20</v>
      </c>
      <c r="I133" s="5"/>
      <c r="J133" s="5">
        <v>16</v>
      </c>
      <c r="K133" s="5">
        <v>40</v>
      </c>
      <c r="L133" s="5">
        <v>40</v>
      </c>
      <c r="M133" s="5">
        <v>60</v>
      </c>
      <c r="N133" s="5">
        <v>60</v>
      </c>
      <c r="O133" s="5">
        <v>40</v>
      </c>
      <c r="P133" s="6">
        <f t="shared" si="96"/>
        <v>240</v>
      </c>
      <c r="Q133" s="6">
        <f t="shared" si="97"/>
        <v>2160</v>
      </c>
      <c r="R133" s="42" t="s">
        <v>23</v>
      </c>
    </row>
    <row r="134" spans="1:18" ht="15.95" customHeight="1" x14ac:dyDescent="0.25">
      <c r="A134" s="47"/>
      <c r="B134" s="55"/>
      <c r="C134" s="9"/>
      <c r="D134" s="136"/>
      <c r="E134" s="56"/>
      <c r="F134" s="57"/>
      <c r="G134" s="8">
        <v>46184</v>
      </c>
      <c r="H134" s="9">
        <v>20</v>
      </c>
      <c r="I134" s="9"/>
      <c r="J134" s="9">
        <v>17</v>
      </c>
      <c r="K134" s="9">
        <v>40</v>
      </c>
      <c r="L134" s="9">
        <v>40</v>
      </c>
      <c r="M134" s="9">
        <v>60</v>
      </c>
      <c r="N134" s="9">
        <v>60</v>
      </c>
      <c r="O134" s="9">
        <v>40</v>
      </c>
      <c r="P134" s="6">
        <f t="shared" si="96"/>
        <v>240</v>
      </c>
      <c r="Q134" s="6">
        <f t="shared" si="97"/>
        <v>2400</v>
      </c>
      <c r="R134" s="42" t="s">
        <v>23</v>
      </c>
    </row>
    <row r="135" spans="1:18" ht="15.95" customHeight="1" x14ac:dyDescent="0.25">
      <c r="A135" s="47"/>
      <c r="B135" s="55"/>
      <c r="C135" s="9"/>
      <c r="D135" s="136"/>
      <c r="E135" s="56"/>
      <c r="F135" s="57"/>
      <c r="G135" s="4">
        <v>46184</v>
      </c>
      <c r="H135" s="5">
        <v>20</v>
      </c>
      <c r="I135" s="5"/>
      <c r="J135" s="5">
        <v>18</v>
      </c>
      <c r="K135" s="5">
        <v>40</v>
      </c>
      <c r="L135" s="5">
        <v>40</v>
      </c>
      <c r="M135" s="5">
        <v>60</v>
      </c>
      <c r="N135" s="5">
        <v>60</v>
      </c>
      <c r="O135" s="5">
        <v>40</v>
      </c>
      <c r="P135" s="6">
        <f t="shared" si="96"/>
        <v>240</v>
      </c>
      <c r="Q135" s="6">
        <f t="shared" si="97"/>
        <v>2640</v>
      </c>
      <c r="R135" s="42" t="s">
        <v>23</v>
      </c>
    </row>
    <row r="136" spans="1:18" ht="15.95" customHeight="1" x14ac:dyDescent="0.25">
      <c r="A136" s="47"/>
      <c r="B136" s="55"/>
      <c r="C136" s="9"/>
      <c r="D136" s="136"/>
      <c r="E136" s="56"/>
      <c r="F136" s="57"/>
      <c r="G136" s="8">
        <v>46184</v>
      </c>
      <c r="H136" s="9">
        <v>20</v>
      </c>
      <c r="I136" s="9"/>
      <c r="J136" s="9">
        <v>19</v>
      </c>
      <c r="K136" s="9">
        <v>40</v>
      </c>
      <c r="L136" s="9">
        <v>40</v>
      </c>
      <c r="M136" s="9">
        <v>60</v>
      </c>
      <c r="N136" s="9">
        <v>60</v>
      </c>
      <c r="O136" s="9">
        <v>40</v>
      </c>
      <c r="P136" s="6">
        <f t="shared" si="96"/>
        <v>240</v>
      </c>
      <c r="Q136" s="6">
        <f t="shared" si="97"/>
        <v>2880</v>
      </c>
      <c r="R136" s="42" t="s">
        <v>23</v>
      </c>
    </row>
    <row r="137" spans="1:18" ht="15.95" customHeight="1" x14ac:dyDescent="0.25">
      <c r="A137" s="47"/>
      <c r="B137" s="55"/>
      <c r="C137" s="9"/>
      <c r="D137" s="136"/>
      <c r="E137" s="56"/>
      <c r="F137" s="57"/>
      <c r="G137" s="4">
        <v>46188</v>
      </c>
      <c r="H137" s="5">
        <v>20</v>
      </c>
      <c r="I137" s="5"/>
      <c r="J137" s="5">
        <v>20</v>
      </c>
      <c r="K137" s="5">
        <v>40</v>
      </c>
      <c r="L137" s="5">
        <v>40</v>
      </c>
      <c r="M137" s="5">
        <v>60</v>
      </c>
      <c r="N137" s="5">
        <v>60</v>
      </c>
      <c r="O137" s="5">
        <v>40</v>
      </c>
      <c r="P137" s="6">
        <f t="shared" ref="P137:P138" si="98">IF(G137="","",SUM(K137:O137))</f>
        <v>240</v>
      </c>
      <c r="Q137" s="6">
        <f t="shared" ref="Q137" si="99">IF(P137="","",Q136+P137)</f>
        <v>3120</v>
      </c>
      <c r="R137" s="42" t="s">
        <v>23</v>
      </c>
    </row>
    <row r="138" spans="1:18" ht="15.95" customHeight="1" x14ac:dyDescent="0.25">
      <c r="A138" s="47"/>
      <c r="B138" s="55"/>
      <c r="C138" s="9"/>
      <c r="D138" s="136"/>
      <c r="E138" s="56"/>
      <c r="F138" s="57"/>
      <c r="G138" s="72">
        <v>46190</v>
      </c>
      <c r="H138" s="73">
        <v>20</v>
      </c>
      <c r="I138" s="73"/>
      <c r="J138" s="73">
        <v>21</v>
      </c>
      <c r="K138" s="73">
        <v>40</v>
      </c>
      <c r="L138" s="73">
        <v>40</v>
      </c>
      <c r="M138" s="73">
        <v>60</v>
      </c>
      <c r="N138" s="73">
        <v>60</v>
      </c>
      <c r="O138" s="73">
        <v>40</v>
      </c>
      <c r="P138" s="78">
        <f t="shared" si="98"/>
        <v>240</v>
      </c>
      <c r="Q138" s="78">
        <f>IF(P138="","",Q137+P138)</f>
        <v>3360</v>
      </c>
      <c r="R138" s="74" t="s">
        <v>23</v>
      </c>
    </row>
    <row r="139" spans="1:18" ht="15.95" customHeight="1" x14ac:dyDescent="0.25">
      <c r="A139" s="47"/>
      <c r="B139" s="55"/>
      <c r="C139" s="9"/>
      <c r="D139" s="136"/>
      <c r="E139" s="56"/>
      <c r="F139" s="57"/>
      <c r="G139" s="72">
        <v>46190</v>
      </c>
      <c r="H139" s="73">
        <v>20</v>
      </c>
      <c r="I139" s="73"/>
      <c r="J139" s="73">
        <v>22</v>
      </c>
      <c r="K139" s="127">
        <v>40</v>
      </c>
      <c r="L139" s="127">
        <v>40</v>
      </c>
      <c r="M139" s="127">
        <v>60</v>
      </c>
      <c r="N139" s="127">
        <v>60</v>
      </c>
      <c r="O139" s="127">
        <v>40</v>
      </c>
      <c r="P139" s="78">
        <f t="shared" ref="P139:P140" si="100">IF(G139="","",SUM(K139:O139))</f>
        <v>240</v>
      </c>
      <c r="Q139" s="78">
        <f>IF(P139="","",Q138+P139)</f>
        <v>3600</v>
      </c>
      <c r="R139" s="74" t="s">
        <v>23</v>
      </c>
    </row>
    <row r="140" spans="1:18" ht="15.95" customHeight="1" x14ac:dyDescent="0.25">
      <c r="A140" s="47"/>
      <c r="B140" s="55"/>
      <c r="C140" s="9"/>
      <c r="D140" s="136"/>
      <c r="E140" s="56"/>
      <c r="F140" s="57"/>
      <c r="G140" s="72">
        <v>46190</v>
      </c>
      <c r="H140" s="73">
        <v>20</v>
      </c>
      <c r="I140" s="73"/>
      <c r="J140" s="73">
        <v>23</v>
      </c>
      <c r="K140" s="73">
        <v>40</v>
      </c>
      <c r="L140" s="73">
        <v>40</v>
      </c>
      <c r="M140" s="73">
        <v>60</v>
      </c>
      <c r="N140" s="73">
        <v>60</v>
      </c>
      <c r="O140" s="73">
        <v>40</v>
      </c>
      <c r="P140" s="78">
        <f t="shared" si="100"/>
        <v>240</v>
      </c>
      <c r="Q140" s="78">
        <f t="shared" ref="Q140:Q144" si="101">IF(P140="","",Q139+P140)</f>
        <v>3840</v>
      </c>
      <c r="R140" s="74" t="s">
        <v>23</v>
      </c>
    </row>
    <row r="141" spans="1:18" ht="15.95" customHeight="1" x14ac:dyDescent="0.25">
      <c r="A141" s="47"/>
      <c r="B141" s="55"/>
      <c r="C141" s="9"/>
      <c r="D141" s="136"/>
      <c r="E141" s="56"/>
      <c r="F141" s="57"/>
      <c r="G141" s="72">
        <v>46190</v>
      </c>
      <c r="H141" s="73">
        <v>20</v>
      </c>
      <c r="I141" s="73"/>
      <c r="J141" s="73">
        <v>24</v>
      </c>
      <c r="K141" s="127">
        <v>40</v>
      </c>
      <c r="L141" s="127">
        <v>40</v>
      </c>
      <c r="M141" s="127">
        <v>60</v>
      </c>
      <c r="N141" s="127">
        <v>60</v>
      </c>
      <c r="O141" s="127">
        <v>40</v>
      </c>
      <c r="P141" s="78">
        <f t="shared" ref="P141:P144" si="102">IF(G141="","",SUM(K141:O141))</f>
        <v>240</v>
      </c>
      <c r="Q141" s="78">
        <f t="shared" si="101"/>
        <v>4080</v>
      </c>
      <c r="R141" s="74" t="s">
        <v>23</v>
      </c>
    </row>
    <row r="142" spans="1:18" ht="15.95" customHeight="1" x14ac:dyDescent="0.25">
      <c r="A142" s="47"/>
      <c r="B142" s="55"/>
      <c r="C142" s="9"/>
      <c r="D142" s="136"/>
      <c r="E142" s="56"/>
      <c r="F142" s="57"/>
      <c r="G142" s="72">
        <v>46190</v>
      </c>
      <c r="H142" s="73">
        <v>20</v>
      </c>
      <c r="I142" s="73"/>
      <c r="J142" s="73">
        <v>25</v>
      </c>
      <c r="K142" s="73">
        <v>40</v>
      </c>
      <c r="L142" s="73">
        <v>40</v>
      </c>
      <c r="M142" s="73">
        <v>60</v>
      </c>
      <c r="N142" s="73">
        <v>60</v>
      </c>
      <c r="O142" s="73">
        <v>40</v>
      </c>
      <c r="P142" s="78">
        <f t="shared" si="102"/>
        <v>240</v>
      </c>
      <c r="Q142" s="78">
        <f t="shared" si="101"/>
        <v>4320</v>
      </c>
      <c r="R142" s="74" t="s">
        <v>23</v>
      </c>
    </row>
    <row r="143" spans="1:18" ht="15.95" customHeight="1" x14ac:dyDescent="0.25">
      <c r="A143" s="47"/>
      <c r="B143" s="55"/>
      <c r="C143" s="9"/>
      <c r="D143" s="136"/>
      <c r="E143" s="56"/>
      <c r="F143" s="57"/>
      <c r="G143" s="72">
        <v>46190</v>
      </c>
      <c r="H143" s="73">
        <v>20</v>
      </c>
      <c r="I143" s="73"/>
      <c r="J143" s="73">
        <v>26</v>
      </c>
      <c r="K143" s="127">
        <v>40</v>
      </c>
      <c r="L143" s="127">
        <v>40</v>
      </c>
      <c r="M143" s="127">
        <v>60</v>
      </c>
      <c r="N143" s="127">
        <v>60</v>
      </c>
      <c r="O143" s="127">
        <v>40</v>
      </c>
      <c r="P143" s="78">
        <f t="shared" si="102"/>
        <v>240</v>
      </c>
      <c r="Q143" s="78">
        <f t="shared" si="101"/>
        <v>4560</v>
      </c>
      <c r="R143" s="74" t="s">
        <v>23</v>
      </c>
    </row>
    <row r="144" spans="1:18" ht="15.95" customHeight="1" x14ac:dyDescent="0.25">
      <c r="A144" s="47"/>
      <c r="B144" s="55"/>
      <c r="C144" s="9"/>
      <c r="D144" s="136"/>
      <c r="E144" s="56"/>
      <c r="F144" s="57"/>
      <c r="G144" s="72">
        <v>46190</v>
      </c>
      <c r="H144" s="73">
        <v>20</v>
      </c>
      <c r="I144" s="73"/>
      <c r="J144" s="73">
        <v>27</v>
      </c>
      <c r="K144" s="73">
        <v>40</v>
      </c>
      <c r="L144" s="73">
        <v>40</v>
      </c>
      <c r="M144" s="73">
        <v>60</v>
      </c>
      <c r="N144" s="73">
        <v>60</v>
      </c>
      <c r="O144" s="73">
        <v>40</v>
      </c>
      <c r="P144" s="78">
        <f t="shared" si="102"/>
        <v>240</v>
      </c>
      <c r="Q144" s="78">
        <f t="shared" si="101"/>
        <v>4800</v>
      </c>
      <c r="R144" s="74" t="s">
        <v>23</v>
      </c>
    </row>
    <row r="145" spans="1:18" ht="15.95" customHeight="1" x14ac:dyDescent="0.25">
      <c r="A145" s="47"/>
      <c r="B145" s="55"/>
      <c r="C145" s="9"/>
      <c r="D145" s="136"/>
      <c r="E145" s="56"/>
      <c r="F145" s="57"/>
      <c r="G145" s="72">
        <v>46190</v>
      </c>
      <c r="H145" s="73">
        <v>20</v>
      </c>
      <c r="I145" s="73"/>
      <c r="J145" s="73">
        <v>28</v>
      </c>
      <c r="K145" s="127">
        <v>40</v>
      </c>
      <c r="L145" s="127">
        <v>40</v>
      </c>
      <c r="M145" s="127">
        <v>60</v>
      </c>
      <c r="N145" s="127">
        <v>60</v>
      </c>
      <c r="O145" s="127">
        <v>40</v>
      </c>
      <c r="P145" s="78">
        <f t="shared" ref="P145:P146" si="103">IF(G145="","",SUM(K145:O145))</f>
        <v>240</v>
      </c>
      <c r="Q145" s="78">
        <f t="shared" ref="Q145:Q146" si="104">IF(P145="","",Q144+P145)</f>
        <v>5040</v>
      </c>
      <c r="R145" s="74" t="s">
        <v>23</v>
      </c>
    </row>
    <row r="146" spans="1:18" ht="15.95" customHeight="1" x14ac:dyDescent="0.25">
      <c r="A146" s="47"/>
      <c r="B146" s="55"/>
      <c r="C146" s="9"/>
      <c r="D146" s="136"/>
      <c r="E146" s="56"/>
      <c r="F146" s="57"/>
      <c r="G146" s="72">
        <v>46190</v>
      </c>
      <c r="H146" s="73">
        <v>20</v>
      </c>
      <c r="I146" s="73"/>
      <c r="J146" s="73">
        <v>29</v>
      </c>
      <c r="K146" s="73">
        <v>40</v>
      </c>
      <c r="L146" s="73">
        <v>40</v>
      </c>
      <c r="M146" s="73">
        <v>60</v>
      </c>
      <c r="N146" s="73">
        <v>60</v>
      </c>
      <c r="O146" s="73">
        <v>40</v>
      </c>
      <c r="P146" s="78">
        <f t="shared" si="103"/>
        <v>240</v>
      </c>
      <c r="Q146" s="78">
        <f t="shared" si="104"/>
        <v>5280</v>
      </c>
      <c r="R146" s="74" t="s">
        <v>23</v>
      </c>
    </row>
    <row r="147" spans="1:18" ht="15.95" customHeight="1" x14ac:dyDescent="0.25">
      <c r="A147" s="47"/>
      <c r="B147" s="55"/>
      <c r="C147" s="9"/>
      <c r="D147" s="136"/>
      <c r="E147" s="56"/>
      <c r="F147" s="57"/>
      <c r="G147" s="72">
        <v>46190</v>
      </c>
      <c r="H147" s="73">
        <v>20</v>
      </c>
      <c r="I147" s="73"/>
      <c r="J147" s="73">
        <v>30</v>
      </c>
      <c r="K147" s="127">
        <v>40</v>
      </c>
      <c r="L147" s="127">
        <v>40</v>
      </c>
      <c r="M147" s="127">
        <v>60</v>
      </c>
      <c r="N147" s="127">
        <v>60</v>
      </c>
      <c r="O147" s="127">
        <v>40</v>
      </c>
      <c r="P147" s="78">
        <f t="shared" ref="P147:P148" si="105">IF(G147="","",SUM(K147:O147))</f>
        <v>240</v>
      </c>
      <c r="Q147" s="78">
        <f t="shared" ref="Q147:Q148" si="106">IF(P147="","",Q146+P147)</f>
        <v>5520</v>
      </c>
      <c r="R147" s="74" t="s">
        <v>23</v>
      </c>
    </row>
    <row r="148" spans="1:18" ht="15.95" customHeight="1" x14ac:dyDescent="0.25">
      <c r="A148" s="47"/>
      <c r="B148" s="55"/>
      <c r="C148" s="9"/>
      <c r="D148" s="136"/>
      <c r="E148" s="56"/>
      <c r="F148" s="57"/>
      <c r="G148" s="72">
        <v>46190</v>
      </c>
      <c r="H148" s="73">
        <v>20</v>
      </c>
      <c r="I148" s="73"/>
      <c r="J148" s="73">
        <v>31</v>
      </c>
      <c r="K148" s="73">
        <v>40</v>
      </c>
      <c r="L148" s="73">
        <v>40</v>
      </c>
      <c r="M148" s="73">
        <v>60</v>
      </c>
      <c r="N148" s="73">
        <v>60</v>
      </c>
      <c r="O148" s="73">
        <v>40</v>
      </c>
      <c r="P148" s="78">
        <f t="shared" si="105"/>
        <v>240</v>
      </c>
      <c r="Q148" s="78">
        <f t="shared" si="106"/>
        <v>5760</v>
      </c>
      <c r="R148" s="74" t="s">
        <v>23</v>
      </c>
    </row>
    <row r="149" spans="1:18" ht="15.95" customHeight="1" x14ac:dyDescent="0.25">
      <c r="A149" s="47"/>
      <c r="B149" s="55"/>
      <c r="C149" s="9"/>
      <c r="D149" s="136"/>
      <c r="E149" s="56"/>
      <c r="F149" s="57"/>
      <c r="G149" s="72">
        <v>46191</v>
      </c>
      <c r="H149" s="73">
        <v>20</v>
      </c>
      <c r="I149" s="73"/>
      <c r="J149" s="73">
        <v>32</v>
      </c>
      <c r="K149" s="127">
        <v>40</v>
      </c>
      <c r="L149" s="127">
        <v>40</v>
      </c>
      <c r="M149" s="127">
        <v>60</v>
      </c>
      <c r="N149" s="127">
        <v>60</v>
      </c>
      <c r="O149" s="127">
        <v>40</v>
      </c>
      <c r="P149" s="78">
        <f t="shared" ref="P149" si="107">IF(G149="","",SUM(K149:O149))</f>
        <v>240</v>
      </c>
      <c r="Q149" s="78">
        <f t="shared" ref="Q149" si="108">IF(P149="","",Q148+P149)</f>
        <v>6000</v>
      </c>
      <c r="R149" s="74" t="s">
        <v>23</v>
      </c>
    </row>
    <row r="150" spans="1:18" ht="15.95" customHeight="1" x14ac:dyDescent="0.25">
      <c r="A150" s="47"/>
      <c r="B150" s="55"/>
      <c r="C150" s="9"/>
      <c r="D150" s="136"/>
      <c r="E150" s="56"/>
      <c r="F150" s="57"/>
      <c r="G150" s="72">
        <v>46191</v>
      </c>
      <c r="H150" s="73">
        <v>20</v>
      </c>
      <c r="I150" s="73"/>
      <c r="J150" s="73">
        <v>33</v>
      </c>
      <c r="K150" s="127">
        <v>40</v>
      </c>
      <c r="L150" s="127">
        <v>40</v>
      </c>
      <c r="M150" s="127">
        <v>60</v>
      </c>
      <c r="N150" s="127">
        <v>60</v>
      </c>
      <c r="O150" s="127">
        <v>40</v>
      </c>
      <c r="P150" s="78">
        <f t="shared" ref="P150:P151" si="109">IF(G150="","",SUM(K150:O150))</f>
        <v>240</v>
      </c>
      <c r="Q150" s="78">
        <f t="shared" ref="Q150:Q151" si="110">IF(P150="","",Q149+P150)</f>
        <v>6240</v>
      </c>
      <c r="R150" s="74" t="s">
        <v>23</v>
      </c>
    </row>
    <row r="151" spans="1:18" ht="15.95" customHeight="1" x14ac:dyDescent="0.25">
      <c r="A151" s="47"/>
      <c r="B151" s="55"/>
      <c r="C151" s="9"/>
      <c r="D151" s="136"/>
      <c r="E151" s="56"/>
      <c r="F151" s="57"/>
      <c r="G151" s="72">
        <v>46191</v>
      </c>
      <c r="H151" s="73">
        <v>20</v>
      </c>
      <c r="I151" s="73"/>
      <c r="J151" s="73">
        <v>34</v>
      </c>
      <c r="K151" s="127">
        <v>40</v>
      </c>
      <c r="L151" s="127">
        <v>40</v>
      </c>
      <c r="M151" s="127">
        <v>60</v>
      </c>
      <c r="N151" s="127">
        <v>60</v>
      </c>
      <c r="O151" s="127">
        <v>40</v>
      </c>
      <c r="P151" s="78">
        <f t="shared" si="109"/>
        <v>240</v>
      </c>
      <c r="Q151" s="78">
        <f t="shared" si="110"/>
        <v>6480</v>
      </c>
      <c r="R151" s="74" t="s">
        <v>23</v>
      </c>
    </row>
    <row r="152" spans="1:18" s="159" customFormat="1" ht="15" customHeight="1" x14ac:dyDescent="0.2">
      <c r="A152" s="150"/>
      <c r="B152" s="151"/>
      <c r="C152" s="152"/>
      <c r="D152" s="153"/>
      <c r="E152" s="154"/>
      <c r="F152" s="155"/>
      <c r="G152" s="156">
        <v>46191</v>
      </c>
      <c r="H152" s="129">
        <v>20</v>
      </c>
      <c r="I152" s="129"/>
      <c r="J152" s="129">
        <v>35</v>
      </c>
      <c r="K152" s="127">
        <v>40</v>
      </c>
      <c r="L152" s="127">
        <v>40</v>
      </c>
      <c r="M152" s="127">
        <v>60</v>
      </c>
      <c r="N152" s="127">
        <v>60</v>
      </c>
      <c r="O152" s="127">
        <v>40</v>
      </c>
      <c r="P152" s="157">
        <f t="shared" ref="P152" si="111">IF(G152="","",SUM(K152:O152))</f>
        <v>240</v>
      </c>
      <c r="Q152" s="157">
        <f t="shared" ref="Q152" si="112">IF(P152="","",Q151+P152)</f>
        <v>6720</v>
      </c>
      <c r="R152" s="158" t="s">
        <v>23</v>
      </c>
    </row>
    <row r="153" spans="1:18" ht="15.95" customHeight="1" x14ac:dyDescent="0.25">
      <c r="A153" s="47"/>
      <c r="B153" s="55"/>
      <c r="C153" s="9"/>
      <c r="D153" s="136"/>
      <c r="E153" s="56"/>
      <c r="F153" s="57"/>
      <c r="G153" s="72">
        <v>46193</v>
      </c>
      <c r="H153" s="73">
        <v>20</v>
      </c>
      <c r="I153" s="73"/>
      <c r="J153" s="73">
        <v>36</v>
      </c>
      <c r="K153" s="127">
        <v>40</v>
      </c>
      <c r="L153" s="127">
        <v>40</v>
      </c>
      <c r="M153" s="127">
        <v>60</v>
      </c>
      <c r="N153" s="127">
        <v>60</v>
      </c>
      <c r="O153" s="127">
        <v>40</v>
      </c>
      <c r="P153" s="78">
        <f>IF(G153="","",SUM(K153:O153))</f>
        <v>240</v>
      </c>
      <c r="Q153" s="78">
        <f t="shared" ref="Q153:Q159" si="113">IF(P153="","",Q152+P153)</f>
        <v>6960</v>
      </c>
      <c r="R153" s="74" t="s">
        <v>23</v>
      </c>
    </row>
    <row r="154" spans="1:18" ht="15.95" customHeight="1" x14ac:dyDescent="0.25">
      <c r="A154" s="47"/>
      <c r="B154" s="55"/>
      <c r="C154" s="9"/>
      <c r="D154" s="136"/>
      <c r="E154" s="56"/>
      <c r="F154" s="57"/>
      <c r="G154" s="72">
        <v>46193</v>
      </c>
      <c r="H154" s="73">
        <v>20</v>
      </c>
      <c r="I154" s="73"/>
      <c r="J154" s="73">
        <v>37</v>
      </c>
      <c r="K154" s="127">
        <v>40</v>
      </c>
      <c r="L154" s="127">
        <v>40</v>
      </c>
      <c r="M154" s="127">
        <v>60</v>
      </c>
      <c r="N154" s="127">
        <v>60</v>
      </c>
      <c r="O154" s="127">
        <v>40</v>
      </c>
      <c r="P154" s="78">
        <f t="shared" ref="P154:P155" si="114">IF(G154="","",SUM(K154:O154))</f>
        <v>240</v>
      </c>
      <c r="Q154" s="78">
        <f t="shared" si="113"/>
        <v>7200</v>
      </c>
      <c r="R154" s="74" t="s">
        <v>23</v>
      </c>
    </row>
    <row r="155" spans="1:18" ht="15.95" customHeight="1" x14ac:dyDescent="0.25">
      <c r="A155" s="47"/>
      <c r="B155" s="55"/>
      <c r="C155" s="9"/>
      <c r="D155" s="136"/>
      <c r="E155" s="56"/>
      <c r="F155" s="57"/>
      <c r="G155" s="72">
        <v>46193</v>
      </c>
      <c r="H155" s="73">
        <v>20</v>
      </c>
      <c r="I155" s="73"/>
      <c r="J155" s="73">
        <v>38</v>
      </c>
      <c r="K155" s="127">
        <v>40</v>
      </c>
      <c r="L155" s="127">
        <v>40</v>
      </c>
      <c r="M155" s="127">
        <v>60</v>
      </c>
      <c r="N155" s="127">
        <v>60</v>
      </c>
      <c r="O155" s="127">
        <v>40</v>
      </c>
      <c r="P155" s="78">
        <f t="shared" si="114"/>
        <v>240</v>
      </c>
      <c r="Q155" s="78">
        <f t="shared" si="113"/>
        <v>7440</v>
      </c>
      <c r="R155" s="74" t="s">
        <v>23</v>
      </c>
    </row>
    <row r="156" spans="1:18" ht="15.95" customHeight="1" x14ac:dyDescent="0.25">
      <c r="A156" s="47"/>
      <c r="B156" s="55"/>
      <c r="C156" s="9"/>
      <c r="D156" s="136"/>
      <c r="E156" s="56"/>
      <c r="F156" s="57"/>
      <c r="G156" s="72">
        <v>46193</v>
      </c>
      <c r="H156" s="73">
        <v>20</v>
      </c>
      <c r="I156" s="73"/>
      <c r="J156" s="73">
        <v>39</v>
      </c>
      <c r="K156" s="127">
        <v>40</v>
      </c>
      <c r="L156" s="127">
        <v>40</v>
      </c>
      <c r="M156" s="127">
        <v>60</v>
      </c>
      <c r="N156" s="127">
        <v>60</v>
      </c>
      <c r="O156" s="127">
        <v>40</v>
      </c>
      <c r="P156" s="78">
        <f t="shared" ref="P156:P157" si="115">IF(G156="","",SUM(K156:O156))</f>
        <v>240</v>
      </c>
      <c r="Q156" s="78">
        <f t="shared" si="113"/>
        <v>7680</v>
      </c>
      <c r="R156" s="74" t="s">
        <v>23</v>
      </c>
    </row>
    <row r="157" spans="1:18" ht="15.95" customHeight="1" x14ac:dyDescent="0.25">
      <c r="A157" s="47"/>
      <c r="B157" s="55"/>
      <c r="C157" s="9"/>
      <c r="D157" s="136"/>
      <c r="E157" s="56"/>
      <c r="F157" s="57"/>
      <c r="G157" s="72">
        <v>46193</v>
      </c>
      <c r="H157" s="73">
        <v>20</v>
      </c>
      <c r="I157" s="73"/>
      <c r="J157" s="73">
        <v>40</v>
      </c>
      <c r="K157" s="127">
        <v>40</v>
      </c>
      <c r="L157" s="127">
        <v>40</v>
      </c>
      <c r="M157" s="127">
        <v>60</v>
      </c>
      <c r="N157" s="127">
        <v>60</v>
      </c>
      <c r="O157" s="127">
        <v>40</v>
      </c>
      <c r="P157" s="78">
        <f t="shared" si="115"/>
        <v>240</v>
      </c>
      <c r="Q157" s="78">
        <f t="shared" si="113"/>
        <v>7920</v>
      </c>
      <c r="R157" s="74" t="s">
        <v>23</v>
      </c>
    </row>
    <row r="158" spans="1:18" ht="15.95" customHeight="1" x14ac:dyDescent="0.25">
      <c r="A158" s="47"/>
      <c r="B158" s="55"/>
      <c r="C158" s="9"/>
      <c r="D158" s="136"/>
      <c r="E158" s="56"/>
      <c r="F158" s="57"/>
      <c r="G158" s="72">
        <v>46193</v>
      </c>
      <c r="H158" s="73">
        <v>20</v>
      </c>
      <c r="I158" s="73"/>
      <c r="J158" s="73">
        <v>41</v>
      </c>
      <c r="K158" s="127">
        <v>40</v>
      </c>
      <c r="L158" s="127">
        <v>40</v>
      </c>
      <c r="M158" s="127">
        <v>60</v>
      </c>
      <c r="N158" s="127">
        <v>60</v>
      </c>
      <c r="O158" s="127">
        <v>40</v>
      </c>
      <c r="P158" s="78">
        <f t="shared" ref="P158:P159" si="116">IF(G158="","",SUM(K158:O158))</f>
        <v>240</v>
      </c>
      <c r="Q158" s="78">
        <f t="shared" si="113"/>
        <v>8160</v>
      </c>
      <c r="R158" s="74" t="s">
        <v>23</v>
      </c>
    </row>
    <row r="159" spans="1:18" ht="15.95" customHeight="1" x14ac:dyDescent="0.25">
      <c r="A159" s="47"/>
      <c r="B159" s="55"/>
      <c r="C159" s="9"/>
      <c r="D159" s="136"/>
      <c r="E159" s="56"/>
      <c r="F159" s="57"/>
      <c r="G159" s="72">
        <v>46193</v>
      </c>
      <c r="H159" s="73">
        <v>20</v>
      </c>
      <c r="I159" s="73"/>
      <c r="J159" s="73">
        <v>42</v>
      </c>
      <c r="K159" s="127">
        <v>40</v>
      </c>
      <c r="L159" s="127">
        <v>40</v>
      </c>
      <c r="M159" s="127">
        <v>60</v>
      </c>
      <c r="N159" s="127">
        <v>60</v>
      </c>
      <c r="O159" s="127">
        <v>40</v>
      </c>
      <c r="P159" s="78">
        <f t="shared" si="116"/>
        <v>240</v>
      </c>
      <c r="Q159" s="78">
        <f t="shared" si="113"/>
        <v>8400</v>
      </c>
      <c r="R159" s="74" t="s">
        <v>23</v>
      </c>
    </row>
    <row r="160" spans="1:18" ht="15.95" customHeight="1" x14ac:dyDescent="0.25">
      <c r="A160" s="47"/>
      <c r="B160" s="55"/>
      <c r="C160" s="9"/>
      <c r="D160" s="136"/>
      <c r="E160" s="56"/>
      <c r="F160" s="57"/>
      <c r="G160" s="72">
        <v>46193</v>
      </c>
      <c r="H160" s="73">
        <v>20</v>
      </c>
      <c r="I160" s="73"/>
      <c r="J160" s="73">
        <v>43</v>
      </c>
      <c r="K160" s="127">
        <v>40</v>
      </c>
      <c r="L160" s="127">
        <v>40</v>
      </c>
      <c r="M160" s="127">
        <v>60</v>
      </c>
      <c r="N160" s="127">
        <v>60</v>
      </c>
      <c r="O160" s="127">
        <v>40</v>
      </c>
      <c r="P160" s="78">
        <f t="shared" ref="P160:P161" si="117">IF(G160="","",SUM(K160:O160))</f>
        <v>240</v>
      </c>
      <c r="Q160" s="78">
        <f t="shared" ref="Q160:Q161" si="118">IF(P160="","",Q159+P160)</f>
        <v>8640</v>
      </c>
      <c r="R160" s="74" t="s">
        <v>23</v>
      </c>
    </row>
    <row r="161" spans="1:18" ht="15.95" customHeight="1" x14ac:dyDescent="0.25">
      <c r="A161" s="47"/>
      <c r="B161" s="55"/>
      <c r="C161" s="9"/>
      <c r="D161" s="136"/>
      <c r="E161" s="56"/>
      <c r="F161" s="57"/>
      <c r="G161" s="72">
        <v>46193</v>
      </c>
      <c r="H161" s="73">
        <v>20</v>
      </c>
      <c r="I161" s="73"/>
      <c r="J161" s="73">
        <v>44</v>
      </c>
      <c r="K161" s="127">
        <v>40</v>
      </c>
      <c r="L161" s="127">
        <v>40</v>
      </c>
      <c r="M161" s="127">
        <v>60</v>
      </c>
      <c r="N161" s="127">
        <v>60</v>
      </c>
      <c r="O161" s="127">
        <v>40</v>
      </c>
      <c r="P161" s="78">
        <f t="shared" si="117"/>
        <v>240</v>
      </c>
      <c r="Q161" s="78">
        <f t="shared" si="118"/>
        <v>8880</v>
      </c>
      <c r="R161" s="74" t="s">
        <v>23</v>
      </c>
    </row>
    <row r="162" spans="1:18" ht="15.95" customHeight="1" x14ac:dyDescent="0.25">
      <c r="A162" s="47"/>
      <c r="B162" s="55"/>
      <c r="C162" s="9"/>
      <c r="D162" s="136"/>
      <c r="E162" s="56"/>
      <c r="F162" s="57"/>
      <c r="G162" s="72">
        <v>46194</v>
      </c>
      <c r="H162" s="73">
        <v>20</v>
      </c>
      <c r="I162" s="73"/>
      <c r="J162" s="73">
        <v>45</v>
      </c>
      <c r="K162" s="127">
        <v>40</v>
      </c>
      <c r="L162" s="127">
        <v>40</v>
      </c>
      <c r="M162" s="127">
        <v>60</v>
      </c>
      <c r="N162" s="127">
        <v>60</v>
      </c>
      <c r="O162" s="127">
        <v>40</v>
      </c>
      <c r="P162" s="78">
        <f t="shared" ref="P162:P163" si="119">IF(G162="","",SUM(K162:O162))</f>
        <v>240</v>
      </c>
      <c r="Q162" s="78">
        <f t="shared" ref="Q162:Q163" si="120">IF(P162="","",Q161+P162)</f>
        <v>9120</v>
      </c>
      <c r="R162" s="74" t="s">
        <v>23</v>
      </c>
    </row>
    <row r="163" spans="1:18" ht="15.95" customHeight="1" x14ac:dyDescent="0.25">
      <c r="A163" s="47"/>
      <c r="B163" s="55"/>
      <c r="C163" s="9"/>
      <c r="D163" s="136"/>
      <c r="E163" s="56"/>
      <c r="F163" s="57"/>
      <c r="G163" s="72">
        <v>46194</v>
      </c>
      <c r="H163" s="73">
        <v>20</v>
      </c>
      <c r="I163" s="73"/>
      <c r="J163" s="73">
        <v>46</v>
      </c>
      <c r="K163" s="127">
        <v>40</v>
      </c>
      <c r="L163" s="127">
        <v>40</v>
      </c>
      <c r="M163" s="127">
        <v>60</v>
      </c>
      <c r="N163" s="127">
        <v>60</v>
      </c>
      <c r="O163" s="127">
        <v>40</v>
      </c>
      <c r="P163" s="78">
        <f t="shared" si="119"/>
        <v>240</v>
      </c>
      <c r="Q163" s="78">
        <f t="shared" si="120"/>
        <v>9360</v>
      </c>
      <c r="R163" s="74" t="s">
        <v>23</v>
      </c>
    </row>
    <row r="164" spans="1:18" ht="15.95" customHeight="1" x14ac:dyDescent="0.25">
      <c r="A164" s="47"/>
      <c r="B164" s="55"/>
      <c r="C164" s="9"/>
      <c r="D164" s="136"/>
      <c r="E164" s="56"/>
      <c r="F164" s="57"/>
      <c r="G164" s="72">
        <v>46194</v>
      </c>
      <c r="H164" s="73">
        <v>20</v>
      </c>
      <c r="I164" s="73"/>
      <c r="J164" s="73">
        <v>47</v>
      </c>
      <c r="K164" s="127">
        <v>40</v>
      </c>
      <c r="L164" s="127">
        <v>40</v>
      </c>
      <c r="M164" s="127">
        <v>60</v>
      </c>
      <c r="N164" s="127">
        <v>60</v>
      </c>
      <c r="O164" s="127">
        <v>40</v>
      </c>
      <c r="P164" s="78">
        <f t="shared" ref="P164:P165" si="121">IF(G164="","",SUM(K164:O164))</f>
        <v>240</v>
      </c>
      <c r="Q164" s="78">
        <f t="shared" ref="Q164:Q165" si="122">IF(P164="","",Q163+P164)</f>
        <v>9600</v>
      </c>
      <c r="R164" s="74" t="s">
        <v>23</v>
      </c>
    </row>
    <row r="165" spans="1:18" ht="15.95" customHeight="1" x14ac:dyDescent="0.25">
      <c r="A165" s="47"/>
      <c r="B165" s="55"/>
      <c r="C165" s="9"/>
      <c r="D165" s="136"/>
      <c r="E165" s="56"/>
      <c r="F165" s="57"/>
      <c r="G165" s="72">
        <v>46194</v>
      </c>
      <c r="H165" s="73">
        <v>20</v>
      </c>
      <c r="I165" s="73"/>
      <c r="J165" s="73">
        <v>48</v>
      </c>
      <c r="K165" s="127">
        <v>40</v>
      </c>
      <c r="L165" s="127">
        <v>40</v>
      </c>
      <c r="M165" s="127">
        <v>60</v>
      </c>
      <c r="N165" s="127">
        <v>60</v>
      </c>
      <c r="O165" s="127">
        <v>40</v>
      </c>
      <c r="P165" s="78">
        <f t="shared" si="121"/>
        <v>240</v>
      </c>
      <c r="Q165" s="78">
        <f t="shared" si="122"/>
        <v>9840</v>
      </c>
      <c r="R165" s="74" t="s">
        <v>23</v>
      </c>
    </row>
    <row r="166" spans="1:18" ht="15.95" customHeight="1" x14ac:dyDescent="0.25">
      <c r="A166" s="47"/>
      <c r="B166" s="55"/>
      <c r="C166" s="9"/>
      <c r="D166" s="136"/>
      <c r="E166" s="56"/>
      <c r="F166" s="57"/>
      <c r="G166" s="72">
        <v>46194</v>
      </c>
      <c r="H166" s="73">
        <v>20</v>
      </c>
      <c r="I166" s="73"/>
      <c r="J166" s="73">
        <v>49</v>
      </c>
      <c r="K166" s="127">
        <v>40</v>
      </c>
      <c r="L166" s="127">
        <v>40</v>
      </c>
      <c r="M166" s="127">
        <v>60</v>
      </c>
      <c r="N166" s="127">
        <v>60</v>
      </c>
      <c r="O166" s="127">
        <v>40</v>
      </c>
      <c r="P166" s="78">
        <f t="shared" ref="P166:P167" si="123">IF(G166="","",SUM(K166:O166))</f>
        <v>240</v>
      </c>
      <c r="Q166" s="78">
        <f t="shared" ref="Q166:Q167" si="124">IF(P166="","",Q165+P166)</f>
        <v>10080</v>
      </c>
      <c r="R166" s="74" t="s">
        <v>23</v>
      </c>
    </row>
    <row r="167" spans="1:18" ht="15.95" customHeight="1" x14ac:dyDescent="0.25">
      <c r="A167" s="47"/>
      <c r="B167" s="55"/>
      <c r="C167" s="9"/>
      <c r="D167" s="136"/>
      <c r="E167" s="56"/>
      <c r="F167" s="57"/>
      <c r="G167" s="72">
        <v>46194</v>
      </c>
      <c r="H167" s="73">
        <v>20</v>
      </c>
      <c r="I167" s="73"/>
      <c r="J167" s="73">
        <v>50</v>
      </c>
      <c r="K167" s="127">
        <v>40</v>
      </c>
      <c r="L167" s="127">
        <v>40</v>
      </c>
      <c r="M167" s="127">
        <v>60</v>
      </c>
      <c r="N167" s="127">
        <v>60</v>
      </c>
      <c r="O167" s="127">
        <v>40</v>
      </c>
      <c r="P167" s="78">
        <f t="shared" si="123"/>
        <v>240</v>
      </c>
      <c r="Q167" s="78">
        <f t="shared" si="124"/>
        <v>10320</v>
      </c>
      <c r="R167" s="74" t="s">
        <v>23</v>
      </c>
    </row>
    <row r="168" spans="1:18" ht="15.95" customHeight="1" x14ac:dyDescent="0.25">
      <c r="A168" s="47"/>
      <c r="B168" s="55"/>
      <c r="C168" s="9"/>
      <c r="D168" s="136"/>
      <c r="E168" s="56"/>
      <c r="F168" s="57"/>
      <c r="G168" s="72">
        <v>46194</v>
      </c>
      <c r="H168" s="73">
        <v>20</v>
      </c>
      <c r="I168" s="73"/>
      <c r="J168" s="73">
        <v>51</v>
      </c>
      <c r="K168" s="127">
        <v>40</v>
      </c>
      <c r="L168" s="127">
        <v>40</v>
      </c>
      <c r="M168" s="127">
        <v>60</v>
      </c>
      <c r="N168" s="127">
        <v>60</v>
      </c>
      <c r="O168" s="127">
        <v>40</v>
      </c>
      <c r="P168" s="78">
        <f t="shared" ref="P168:P171" si="125">IF(G168="","",SUM(K168:O168))</f>
        <v>240</v>
      </c>
      <c r="Q168" s="78">
        <f t="shared" ref="Q168:Q171" si="126">IF(P168="","",Q167+P168)</f>
        <v>10560</v>
      </c>
      <c r="R168" s="74" t="s">
        <v>23</v>
      </c>
    </row>
    <row r="169" spans="1:18" ht="15.95" customHeight="1" x14ac:dyDescent="0.25">
      <c r="A169" s="47"/>
      <c r="B169" s="55"/>
      <c r="C169" s="9"/>
      <c r="D169" s="136"/>
      <c r="E169" s="56"/>
      <c r="F169" s="57"/>
      <c r="G169" s="72">
        <v>46194</v>
      </c>
      <c r="H169" s="73">
        <v>20</v>
      </c>
      <c r="I169" s="73"/>
      <c r="J169" s="73">
        <v>52</v>
      </c>
      <c r="K169" s="127">
        <v>40</v>
      </c>
      <c r="L169" s="127">
        <v>40</v>
      </c>
      <c r="M169" s="127">
        <v>60</v>
      </c>
      <c r="N169" s="127">
        <v>60</v>
      </c>
      <c r="O169" s="127">
        <v>40</v>
      </c>
      <c r="P169" s="78">
        <f t="shared" si="125"/>
        <v>240</v>
      </c>
      <c r="Q169" s="78">
        <f t="shared" si="126"/>
        <v>10800</v>
      </c>
      <c r="R169" s="74" t="s">
        <v>23</v>
      </c>
    </row>
    <row r="170" spans="1:18" ht="15.95" customHeight="1" x14ac:dyDescent="0.25">
      <c r="A170" s="47"/>
      <c r="B170" s="55"/>
      <c r="C170" s="9"/>
      <c r="D170" s="136"/>
      <c r="E170" s="56"/>
      <c r="F170" s="57"/>
      <c r="G170" s="72">
        <v>46194</v>
      </c>
      <c r="H170" s="73">
        <v>20</v>
      </c>
      <c r="I170" s="73"/>
      <c r="J170" s="73">
        <v>53</v>
      </c>
      <c r="K170" s="127">
        <v>40</v>
      </c>
      <c r="L170" s="127">
        <v>40</v>
      </c>
      <c r="M170" s="127">
        <v>60</v>
      </c>
      <c r="N170" s="127">
        <v>60</v>
      </c>
      <c r="O170" s="127">
        <v>40</v>
      </c>
      <c r="P170" s="78">
        <f t="shared" si="125"/>
        <v>240</v>
      </c>
      <c r="Q170" s="78">
        <f t="shared" si="126"/>
        <v>11040</v>
      </c>
      <c r="R170" s="74" t="s">
        <v>23</v>
      </c>
    </row>
    <row r="171" spans="1:18" ht="15.95" customHeight="1" x14ac:dyDescent="0.25">
      <c r="A171" s="47"/>
      <c r="B171" s="55"/>
      <c r="C171" s="9"/>
      <c r="D171" s="136"/>
      <c r="E171" s="56"/>
      <c r="F171" s="57"/>
      <c r="G171" s="72">
        <v>46194</v>
      </c>
      <c r="H171" s="73">
        <v>20</v>
      </c>
      <c r="I171" s="73"/>
      <c r="J171" s="73">
        <v>54</v>
      </c>
      <c r="K171" s="127">
        <v>40</v>
      </c>
      <c r="L171" s="127">
        <v>40</v>
      </c>
      <c r="M171" s="127">
        <v>60</v>
      </c>
      <c r="N171" s="127">
        <v>60</v>
      </c>
      <c r="O171" s="127">
        <v>40</v>
      </c>
      <c r="P171" s="78">
        <f t="shared" si="125"/>
        <v>240</v>
      </c>
      <c r="Q171" s="78">
        <f t="shared" si="126"/>
        <v>11280</v>
      </c>
      <c r="R171" s="74" t="s">
        <v>23</v>
      </c>
    </row>
    <row r="172" spans="1:18" ht="15.95" customHeight="1" x14ac:dyDescent="0.25">
      <c r="A172" s="47"/>
      <c r="B172" s="55"/>
      <c r="C172" s="9"/>
      <c r="D172" s="136"/>
      <c r="E172" s="56"/>
      <c r="F172" s="57"/>
      <c r="G172" s="72">
        <v>46194</v>
      </c>
      <c r="H172" s="73">
        <v>20</v>
      </c>
      <c r="I172" s="73"/>
      <c r="J172" s="73">
        <v>55</v>
      </c>
      <c r="K172" s="127">
        <v>40</v>
      </c>
      <c r="L172" s="127">
        <v>40</v>
      </c>
      <c r="M172" s="127">
        <v>60</v>
      </c>
      <c r="N172" s="127">
        <v>60</v>
      </c>
      <c r="O172" s="127">
        <v>40</v>
      </c>
      <c r="P172" s="78">
        <f t="shared" ref="P172:P175" si="127">IF(G172="","",SUM(K172:O172))</f>
        <v>240</v>
      </c>
      <c r="Q172" s="78">
        <f t="shared" ref="Q172:Q175" si="128">IF(P172="","",Q171+P172)</f>
        <v>11520</v>
      </c>
      <c r="R172" s="74" t="s">
        <v>23</v>
      </c>
    </row>
    <row r="173" spans="1:18" ht="15.95" customHeight="1" x14ac:dyDescent="0.25">
      <c r="A173" s="47"/>
      <c r="B173" s="55"/>
      <c r="C173" s="9"/>
      <c r="D173" s="136"/>
      <c r="E173" s="56"/>
      <c r="F173" s="57"/>
      <c r="G173" s="72">
        <v>46194</v>
      </c>
      <c r="H173" s="73">
        <v>20</v>
      </c>
      <c r="I173" s="73"/>
      <c r="J173" s="73">
        <v>56</v>
      </c>
      <c r="K173" s="127">
        <v>40</v>
      </c>
      <c r="L173" s="127">
        <v>40</v>
      </c>
      <c r="M173" s="127">
        <v>60</v>
      </c>
      <c r="N173" s="127">
        <v>60</v>
      </c>
      <c r="O173" s="127">
        <v>40</v>
      </c>
      <c r="P173" s="78">
        <f t="shared" si="127"/>
        <v>240</v>
      </c>
      <c r="Q173" s="78">
        <f t="shared" si="128"/>
        <v>11760</v>
      </c>
      <c r="R173" s="74" t="s">
        <v>23</v>
      </c>
    </row>
    <row r="174" spans="1:18" ht="15.95" customHeight="1" x14ac:dyDescent="0.25">
      <c r="A174" s="47"/>
      <c r="B174" s="55"/>
      <c r="C174" s="9"/>
      <c r="D174" s="136"/>
      <c r="E174" s="56"/>
      <c r="F174" s="57"/>
      <c r="G174" s="72">
        <v>46194</v>
      </c>
      <c r="H174" s="73">
        <v>20</v>
      </c>
      <c r="I174" s="73"/>
      <c r="J174" s="73">
        <v>57</v>
      </c>
      <c r="K174" s="127">
        <v>40</v>
      </c>
      <c r="L174" s="127">
        <v>40</v>
      </c>
      <c r="M174" s="127">
        <v>60</v>
      </c>
      <c r="N174" s="127">
        <v>60</v>
      </c>
      <c r="O174" s="127">
        <v>40</v>
      </c>
      <c r="P174" s="78">
        <f t="shared" si="127"/>
        <v>240</v>
      </c>
      <c r="Q174" s="78">
        <f t="shared" si="128"/>
        <v>12000</v>
      </c>
      <c r="R174" s="74" t="s">
        <v>23</v>
      </c>
    </row>
    <row r="175" spans="1:18" ht="15.95" customHeight="1" x14ac:dyDescent="0.25">
      <c r="A175" s="47"/>
      <c r="B175" s="55"/>
      <c r="C175" s="9"/>
      <c r="D175" s="136"/>
      <c r="E175" s="56"/>
      <c r="F175" s="57"/>
      <c r="G175" s="72">
        <v>46194</v>
      </c>
      <c r="H175" s="73">
        <v>20</v>
      </c>
      <c r="I175" s="73"/>
      <c r="J175" s="73">
        <v>58</v>
      </c>
      <c r="K175" s="127">
        <v>40</v>
      </c>
      <c r="L175" s="127">
        <v>40</v>
      </c>
      <c r="M175" s="127">
        <v>60</v>
      </c>
      <c r="N175" s="127">
        <v>60</v>
      </c>
      <c r="O175" s="127">
        <v>40</v>
      </c>
      <c r="P175" s="78">
        <f t="shared" si="127"/>
        <v>240</v>
      </c>
      <c r="Q175" s="78">
        <f t="shared" si="128"/>
        <v>12240</v>
      </c>
      <c r="R175" s="74" t="s">
        <v>23</v>
      </c>
    </row>
    <row r="176" spans="1:18" ht="15.95" customHeight="1" x14ac:dyDescent="0.25">
      <c r="A176" s="47"/>
      <c r="B176" s="55"/>
      <c r="C176" s="9"/>
      <c r="D176" s="136"/>
      <c r="E176" s="56"/>
      <c r="F176" s="57"/>
      <c r="G176" s="72">
        <v>46195</v>
      </c>
      <c r="H176" s="73">
        <v>20</v>
      </c>
      <c r="I176" s="73"/>
      <c r="J176" s="73">
        <v>59</v>
      </c>
      <c r="K176" s="127">
        <v>40</v>
      </c>
      <c r="L176" s="127">
        <v>40</v>
      </c>
      <c r="M176" s="127">
        <v>60</v>
      </c>
      <c r="N176" s="127">
        <v>60</v>
      </c>
      <c r="O176" s="127">
        <v>40</v>
      </c>
      <c r="P176" s="78">
        <f t="shared" ref="P176:P177" si="129">IF(G176="","",SUM(K176:O176))</f>
        <v>240</v>
      </c>
      <c r="Q176" s="78">
        <f t="shared" ref="Q176:Q177" si="130">IF(P176="","",Q175+P176)</f>
        <v>12480</v>
      </c>
      <c r="R176" s="74" t="s">
        <v>23</v>
      </c>
    </row>
    <row r="177" spans="1:18" ht="15.95" customHeight="1" x14ac:dyDescent="0.25">
      <c r="A177" s="47"/>
      <c r="B177" s="55"/>
      <c r="C177" s="9"/>
      <c r="D177" s="136"/>
      <c r="E177" s="56"/>
      <c r="F177" s="57"/>
      <c r="G177" s="72">
        <v>46195</v>
      </c>
      <c r="H177" s="73">
        <v>20</v>
      </c>
      <c r="I177" s="73"/>
      <c r="J177" s="73">
        <v>60</v>
      </c>
      <c r="K177" s="127">
        <v>40</v>
      </c>
      <c r="L177" s="127">
        <v>40</v>
      </c>
      <c r="M177" s="127">
        <v>60</v>
      </c>
      <c r="N177" s="127">
        <v>60</v>
      </c>
      <c r="O177" s="127">
        <v>40</v>
      </c>
      <c r="P177" s="78">
        <f t="shared" si="129"/>
        <v>240</v>
      </c>
      <c r="Q177" s="78">
        <f t="shared" si="130"/>
        <v>12720</v>
      </c>
      <c r="R177" s="74" t="s">
        <v>23</v>
      </c>
    </row>
    <row r="178" spans="1:18" ht="15.95" customHeight="1" x14ac:dyDescent="0.25">
      <c r="A178" s="47"/>
      <c r="B178" s="55"/>
      <c r="C178" s="9"/>
      <c r="D178" s="136"/>
      <c r="E178" s="56"/>
      <c r="F178" s="57"/>
      <c r="G178" s="72">
        <v>46195</v>
      </c>
      <c r="H178" s="73">
        <v>20</v>
      </c>
      <c r="I178" s="73"/>
      <c r="J178" s="73">
        <v>61</v>
      </c>
      <c r="K178" s="127">
        <v>40</v>
      </c>
      <c r="L178" s="127">
        <v>40</v>
      </c>
      <c r="M178" s="127">
        <v>60</v>
      </c>
      <c r="N178" s="127">
        <v>60</v>
      </c>
      <c r="O178" s="127">
        <v>40</v>
      </c>
      <c r="P178" s="78">
        <f t="shared" ref="P178:P180" si="131">IF(G178="","",SUM(K178:O178))</f>
        <v>240</v>
      </c>
      <c r="Q178" s="78">
        <f t="shared" ref="Q178:Q180" si="132">IF(P178="","",Q177+P178)</f>
        <v>12960</v>
      </c>
      <c r="R178" s="74" t="s">
        <v>23</v>
      </c>
    </row>
    <row r="179" spans="1:18" ht="15.95" customHeight="1" x14ac:dyDescent="0.25">
      <c r="A179" s="47"/>
      <c r="B179" s="55"/>
      <c r="C179" s="9"/>
      <c r="D179" s="136"/>
      <c r="E179" s="56"/>
      <c r="F179" s="57"/>
      <c r="G179" s="72">
        <v>46195</v>
      </c>
      <c r="H179" s="73">
        <v>20</v>
      </c>
      <c r="I179" s="73"/>
      <c r="J179" s="73">
        <v>62</v>
      </c>
      <c r="K179" s="127">
        <v>40</v>
      </c>
      <c r="L179" s="127">
        <v>40</v>
      </c>
      <c r="M179" s="127">
        <v>60</v>
      </c>
      <c r="N179" s="127">
        <v>60</v>
      </c>
      <c r="O179" s="127">
        <v>40</v>
      </c>
      <c r="P179" s="78">
        <f t="shared" si="131"/>
        <v>240</v>
      </c>
      <c r="Q179" s="78">
        <f t="shared" si="132"/>
        <v>13200</v>
      </c>
      <c r="R179" s="74" t="s">
        <v>23</v>
      </c>
    </row>
    <row r="180" spans="1:18" ht="15.95" customHeight="1" x14ac:dyDescent="0.25">
      <c r="A180" s="47"/>
      <c r="B180" s="55"/>
      <c r="C180" s="9"/>
      <c r="D180" s="136"/>
      <c r="E180" s="56"/>
      <c r="F180" s="57"/>
      <c r="G180" s="72">
        <v>46195</v>
      </c>
      <c r="H180" s="73">
        <v>20</v>
      </c>
      <c r="I180" s="73"/>
      <c r="J180" s="73">
        <v>63</v>
      </c>
      <c r="K180" s="127">
        <v>40</v>
      </c>
      <c r="L180" s="127">
        <v>40</v>
      </c>
      <c r="M180" s="127">
        <v>60</v>
      </c>
      <c r="N180" s="127">
        <v>60</v>
      </c>
      <c r="O180" s="127">
        <v>40</v>
      </c>
      <c r="P180" s="78">
        <f t="shared" si="131"/>
        <v>240</v>
      </c>
      <c r="Q180" s="78">
        <f t="shared" si="132"/>
        <v>13440</v>
      </c>
      <c r="R180" s="74" t="s">
        <v>23</v>
      </c>
    </row>
    <row r="181" spans="1:18" ht="15.95" customHeight="1" x14ac:dyDescent="0.25">
      <c r="A181" s="47"/>
      <c r="B181" s="55"/>
      <c r="C181" s="9"/>
      <c r="D181" s="136"/>
      <c r="E181" s="56"/>
      <c r="F181" s="57"/>
      <c r="G181" s="72">
        <v>46195</v>
      </c>
      <c r="H181" s="73">
        <v>20</v>
      </c>
      <c r="I181" s="73"/>
      <c r="J181" s="73">
        <v>64</v>
      </c>
      <c r="K181" s="127">
        <v>40</v>
      </c>
      <c r="L181" s="127">
        <v>40</v>
      </c>
      <c r="M181" s="127">
        <v>60</v>
      </c>
      <c r="N181" s="127">
        <v>60</v>
      </c>
      <c r="O181" s="127">
        <v>40</v>
      </c>
      <c r="P181" s="78">
        <f t="shared" ref="P181:P182" si="133">IF(G181="","",SUM(K181:O181))</f>
        <v>240</v>
      </c>
      <c r="Q181" s="78">
        <f t="shared" ref="Q181:Q182" si="134">IF(P181="","",Q180+P181)</f>
        <v>13680</v>
      </c>
      <c r="R181" s="74" t="s">
        <v>23</v>
      </c>
    </row>
    <row r="182" spans="1:18" ht="15.95" customHeight="1" x14ac:dyDescent="0.25">
      <c r="A182" s="47"/>
      <c r="B182" s="55"/>
      <c r="C182" s="9"/>
      <c r="D182" s="136"/>
      <c r="E182" s="56"/>
      <c r="F182" s="57"/>
      <c r="G182" s="72">
        <v>46195</v>
      </c>
      <c r="H182" s="73">
        <v>20</v>
      </c>
      <c r="I182" s="73"/>
      <c r="J182" s="73">
        <v>65</v>
      </c>
      <c r="K182" s="127">
        <v>40</v>
      </c>
      <c r="L182" s="127">
        <v>40</v>
      </c>
      <c r="M182" s="127">
        <v>60</v>
      </c>
      <c r="N182" s="127">
        <v>60</v>
      </c>
      <c r="O182" s="127">
        <v>40</v>
      </c>
      <c r="P182" s="78">
        <f t="shared" si="133"/>
        <v>240</v>
      </c>
      <c r="Q182" s="78">
        <f t="shared" si="134"/>
        <v>13920</v>
      </c>
      <c r="R182" s="74" t="s">
        <v>23</v>
      </c>
    </row>
    <row r="183" spans="1:18" ht="15.95" customHeight="1" x14ac:dyDescent="0.25">
      <c r="A183" s="47"/>
      <c r="B183" s="55"/>
      <c r="C183" s="9"/>
      <c r="D183" s="136"/>
      <c r="E183" s="56"/>
      <c r="F183" s="57"/>
      <c r="G183" s="72">
        <v>46195</v>
      </c>
      <c r="H183" s="73">
        <v>20</v>
      </c>
      <c r="I183" s="73"/>
      <c r="J183" s="73">
        <v>66</v>
      </c>
      <c r="K183" s="127">
        <v>40</v>
      </c>
      <c r="L183" s="127">
        <v>40</v>
      </c>
      <c r="M183" s="127">
        <v>60</v>
      </c>
      <c r="N183" s="127">
        <v>60</v>
      </c>
      <c r="O183" s="127">
        <v>40</v>
      </c>
      <c r="P183" s="78">
        <f t="shared" ref="P183:P191" si="135">IF(G183="","",SUM(K183:O183))</f>
        <v>240</v>
      </c>
      <c r="Q183" s="78">
        <f t="shared" ref="Q183:Q191" si="136">IF(P183="","",Q182+P183)</f>
        <v>14160</v>
      </c>
      <c r="R183" s="74" t="s">
        <v>23</v>
      </c>
    </row>
    <row r="184" spans="1:18" ht="15.95" customHeight="1" x14ac:dyDescent="0.25">
      <c r="A184" s="47"/>
      <c r="B184" s="55"/>
      <c r="C184" s="9"/>
      <c r="D184" s="136"/>
      <c r="E184" s="56"/>
      <c r="F184" s="57"/>
      <c r="G184" s="72">
        <v>46195</v>
      </c>
      <c r="H184" s="73">
        <v>20</v>
      </c>
      <c r="I184" s="73"/>
      <c r="J184" s="73">
        <v>67</v>
      </c>
      <c r="K184" s="127">
        <v>40</v>
      </c>
      <c r="L184" s="127">
        <v>40</v>
      </c>
      <c r="M184" s="127">
        <v>60</v>
      </c>
      <c r="N184" s="127">
        <v>60</v>
      </c>
      <c r="O184" s="127">
        <v>40</v>
      </c>
      <c r="P184" s="78">
        <f t="shared" si="135"/>
        <v>240</v>
      </c>
      <c r="Q184" s="78">
        <f t="shared" si="136"/>
        <v>14400</v>
      </c>
      <c r="R184" s="74" t="s">
        <v>23</v>
      </c>
    </row>
    <row r="185" spans="1:18" ht="15.95" customHeight="1" x14ac:dyDescent="0.25">
      <c r="A185" s="47"/>
      <c r="B185" s="55"/>
      <c r="C185" s="9"/>
      <c r="D185" s="136"/>
      <c r="E185" s="56"/>
      <c r="F185" s="57"/>
      <c r="G185" s="72">
        <v>46195</v>
      </c>
      <c r="H185" s="73">
        <v>20</v>
      </c>
      <c r="I185" s="73"/>
      <c r="J185" s="73">
        <v>68</v>
      </c>
      <c r="K185" s="127">
        <v>40</v>
      </c>
      <c r="L185" s="127">
        <v>40</v>
      </c>
      <c r="M185" s="127">
        <v>60</v>
      </c>
      <c r="N185" s="127">
        <v>60</v>
      </c>
      <c r="O185" s="127">
        <v>40</v>
      </c>
      <c r="P185" s="78">
        <f t="shared" si="135"/>
        <v>240</v>
      </c>
      <c r="Q185" s="78">
        <f t="shared" si="136"/>
        <v>14640</v>
      </c>
      <c r="R185" s="74" t="s">
        <v>23</v>
      </c>
    </row>
    <row r="186" spans="1:18" ht="15.95" customHeight="1" x14ac:dyDescent="0.25">
      <c r="A186" s="47"/>
      <c r="B186" s="55"/>
      <c r="C186" s="9"/>
      <c r="D186" s="136"/>
      <c r="E186" s="56"/>
      <c r="F186" s="57"/>
      <c r="G186" s="72">
        <v>46195</v>
      </c>
      <c r="H186" s="73">
        <v>20</v>
      </c>
      <c r="I186" s="73"/>
      <c r="J186" s="73">
        <v>69</v>
      </c>
      <c r="K186" s="127">
        <v>40</v>
      </c>
      <c r="L186" s="127">
        <v>40</v>
      </c>
      <c r="M186" s="127">
        <v>60</v>
      </c>
      <c r="N186" s="127">
        <v>60</v>
      </c>
      <c r="O186" s="127">
        <v>40</v>
      </c>
      <c r="P186" s="78">
        <f t="shared" si="135"/>
        <v>240</v>
      </c>
      <c r="Q186" s="78">
        <f t="shared" si="136"/>
        <v>14880</v>
      </c>
      <c r="R186" s="74" t="s">
        <v>23</v>
      </c>
    </row>
    <row r="187" spans="1:18" ht="15.95" customHeight="1" x14ac:dyDescent="0.25">
      <c r="A187" s="47"/>
      <c r="B187" s="55"/>
      <c r="C187" s="9"/>
      <c r="D187" s="136"/>
      <c r="E187" s="56"/>
      <c r="F187" s="57"/>
      <c r="G187" s="72">
        <v>46195</v>
      </c>
      <c r="H187" s="73">
        <v>20</v>
      </c>
      <c r="I187" s="73"/>
      <c r="J187" s="73">
        <v>70</v>
      </c>
      <c r="K187" s="127">
        <v>40</v>
      </c>
      <c r="L187" s="127">
        <v>40</v>
      </c>
      <c r="M187" s="127">
        <v>60</v>
      </c>
      <c r="N187" s="127">
        <v>60</v>
      </c>
      <c r="O187" s="127">
        <v>40</v>
      </c>
      <c r="P187" s="78">
        <f t="shared" si="135"/>
        <v>240</v>
      </c>
      <c r="Q187" s="78">
        <f t="shared" si="136"/>
        <v>15120</v>
      </c>
      <c r="R187" s="74" t="s">
        <v>23</v>
      </c>
    </row>
    <row r="188" spans="1:18" ht="15.95" customHeight="1" x14ac:dyDescent="0.25">
      <c r="A188" s="47"/>
      <c r="B188" s="55"/>
      <c r="C188" s="9"/>
      <c r="D188" s="136"/>
      <c r="E188" s="56"/>
      <c r="F188" s="57"/>
      <c r="G188" s="72">
        <v>46195</v>
      </c>
      <c r="H188" s="73">
        <v>20</v>
      </c>
      <c r="I188" s="73"/>
      <c r="J188" s="73">
        <v>71</v>
      </c>
      <c r="K188" s="127">
        <v>40</v>
      </c>
      <c r="L188" s="127">
        <v>40</v>
      </c>
      <c r="M188" s="127">
        <v>60</v>
      </c>
      <c r="N188" s="127">
        <v>60</v>
      </c>
      <c r="O188" s="127">
        <v>40</v>
      </c>
      <c r="P188" s="78">
        <f t="shared" si="135"/>
        <v>240</v>
      </c>
      <c r="Q188" s="78">
        <f t="shared" si="136"/>
        <v>15360</v>
      </c>
      <c r="R188" s="74" t="s">
        <v>23</v>
      </c>
    </row>
    <row r="189" spans="1:18" ht="15.95" customHeight="1" x14ac:dyDescent="0.25">
      <c r="A189" s="47"/>
      <c r="B189" s="55"/>
      <c r="C189" s="9"/>
      <c r="D189" s="136"/>
      <c r="E189" s="56"/>
      <c r="F189" s="57"/>
      <c r="G189" s="72">
        <v>46195</v>
      </c>
      <c r="H189" s="73">
        <v>20</v>
      </c>
      <c r="I189" s="73"/>
      <c r="J189" s="73">
        <v>72</v>
      </c>
      <c r="K189" s="127">
        <v>40</v>
      </c>
      <c r="L189" s="127">
        <v>40</v>
      </c>
      <c r="M189" s="127">
        <v>60</v>
      </c>
      <c r="N189" s="127">
        <v>60</v>
      </c>
      <c r="O189" s="127">
        <v>40</v>
      </c>
      <c r="P189" s="78">
        <f t="shared" si="135"/>
        <v>240</v>
      </c>
      <c r="Q189" s="78">
        <f t="shared" si="136"/>
        <v>15600</v>
      </c>
      <c r="R189" s="74" t="s">
        <v>23</v>
      </c>
    </row>
    <row r="190" spans="1:18" ht="15.95" customHeight="1" x14ac:dyDescent="0.25">
      <c r="A190" s="47"/>
      <c r="B190" s="55"/>
      <c r="C190" s="9"/>
      <c r="D190" s="136"/>
      <c r="E190" s="56"/>
      <c r="F190" s="57"/>
      <c r="G190" s="72">
        <v>46195</v>
      </c>
      <c r="H190" s="73">
        <v>19</v>
      </c>
      <c r="I190" s="73"/>
      <c r="J190" s="73">
        <v>73</v>
      </c>
      <c r="K190" s="127">
        <v>38</v>
      </c>
      <c r="L190" s="127">
        <v>38</v>
      </c>
      <c r="M190" s="127">
        <v>57</v>
      </c>
      <c r="N190" s="127">
        <f>19*3</f>
        <v>57</v>
      </c>
      <c r="O190" s="127">
        <v>38</v>
      </c>
      <c r="P190" s="78">
        <f t="shared" si="135"/>
        <v>228</v>
      </c>
      <c r="Q190" s="78">
        <f t="shared" si="136"/>
        <v>15828</v>
      </c>
      <c r="R190" s="74" t="s">
        <v>23</v>
      </c>
    </row>
    <row r="191" spans="1:18" ht="15.95" customHeight="1" thickBot="1" x14ac:dyDescent="0.3">
      <c r="A191" s="47"/>
      <c r="B191" s="55"/>
      <c r="C191" s="9"/>
      <c r="D191" s="136"/>
      <c r="E191" s="56"/>
      <c r="F191" s="57"/>
      <c r="G191" s="72"/>
      <c r="H191" s="73"/>
      <c r="I191" s="73"/>
      <c r="J191" s="73"/>
      <c r="K191" s="73"/>
      <c r="L191" s="73"/>
      <c r="M191" s="73"/>
      <c r="N191" s="73"/>
      <c r="O191" s="73"/>
      <c r="P191" s="78" t="str">
        <f t="shared" si="135"/>
        <v/>
      </c>
      <c r="Q191" s="78" t="str">
        <f t="shared" si="136"/>
        <v/>
      </c>
      <c r="R191" s="74"/>
    </row>
    <row r="192" spans="1:18" ht="19.5" customHeight="1" thickBot="1" x14ac:dyDescent="0.3">
      <c r="A192" s="48"/>
      <c r="B192" s="58"/>
      <c r="C192" s="58"/>
      <c r="D192" s="138"/>
      <c r="E192" s="59"/>
      <c r="F192" s="58"/>
      <c r="G192" s="19"/>
      <c r="H192" s="20"/>
      <c r="I192" s="21"/>
      <c r="J192" s="22" t="s">
        <v>11</v>
      </c>
      <c r="K192" s="38">
        <f>SUM(K125:K191)</f>
        <v>2638</v>
      </c>
      <c r="L192" s="38">
        <f>SUM(L125:L191)</f>
        <v>2638</v>
      </c>
      <c r="M192" s="38">
        <f>SUM(M125:M191)</f>
        <v>3957</v>
      </c>
      <c r="N192" s="38">
        <f>SUM(N125:N191)</f>
        <v>3957</v>
      </c>
      <c r="O192" s="38">
        <f>SUM(O125:O191)</f>
        <v>2638</v>
      </c>
      <c r="P192" s="38">
        <f>SUM(K192:O192)</f>
        <v>15828</v>
      </c>
      <c r="Q192" s="23"/>
      <c r="R192" s="82"/>
    </row>
    <row r="193" spans="1:18" ht="19.5" thickBot="1" x14ac:dyDescent="0.3">
      <c r="A193" s="49"/>
      <c r="B193" s="60"/>
      <c r="C193" s="60"/>
      <c r="D193" s="139"/>
      <c r="E193" s="60"/>
      <c r="F193" s="60"/>
      <c r="G193" s="24"/>
      <c r="H193" s="24"/>
      <c r="I193" s="25"/>
      <c r="J193" s="26" t="s">
        <v>12</v>
      </c>
      <c r="K193" s="39">
        <f>IF(K123="","",K192-K123)</f>
        <v>26</v>
      </c>
      <c r="L193" s="39">
        <f>IF(L123="","",L192-L123)</f>
        <v>26</v>
      </c>
      <c r="M193" s="39">
        <f>IF(M123="","",M192-M123)</f>
        <v>39</v>
      </c>
      <c r="N193" s="39">
        <f>IF(N123="","",N192-N123)</f>
        <v>39</v>
      </c>
      <c r="O193" s="39">
        <f>IF(O123="","",O192-O123)</f>
        <v>26</v>
      </c>
      <c r="P193" s="39">
        <f>SUM(K193:O193)</f>
        <v>156</v>
      </c>
      <c r="Q193" s="27"/>
      <c r="R193" s="83"/>
    </row>
    <row r="194" spans="1:18" ht="18.75" customHeight="1" x14ac:dyDescent="0.25">
      <c r="A194" s="43"/>
      <c r="E194" s="43"/>
      <c r="I194"/>
      <c r="J194" s="130"/>
      <c r="K194" s="131"/>
      <c r="L194" s="131"/>
      <c r="M194" s="131"/>
      <c r="N194" s="131"/>
      <c r="O194" s="131"/>
      <c r="P194" s="131"/>
      <c r="Q194" s="29"/>
    </row>
    <row r="195" spans="1:18" s="1" customFormat="1" ht="18.75" customHeight="1" thickBot="1" x14ac:dyDescent="0.35">
      <c r="A195" s="46"/>
      <c r="B195" s="41"/>
      <c r="C195" s="41"/>
      <c r="D195" s="133"/>
      <c r="E195" s="41"/>
      <c r="F195" s="41"/>
      <c r="I195" s="90" t="s">
        <v>26</v>
      </c>
      <c r="K195" s="30"/>
      <c r="L195" s="30"/>
      <c r="M195" s="30"/>
      <c r="N195" s="30"/>
      <c r="O195" s="30"/>
      <c r="P195" s="30"/>
      <c r="Q195" s="30"/>
      <c r="R195" s="81"/>
    </row>
    <row r="196" spans="1:18" s="2" customFormat="1" ht="27" customHeight="1" thickBot="1" x14ac:dyDescent="0.25">
      <c r="A196" s="91"/>
      <c r="B196" s="51"/>
      <c r="C196" s="51"/>
      <c r="D196" s="134"/>
      <c r="E196" s="52"/>
      <c r="F196" s="53"/>
      <c r="G196" s="15"/>
      <c r="H196" s="15"/>
      <c r="I196" s="15"/>
      <c r="J196" s="16" t="s">
        <v>16</v>
      </c>
      <c r="K196" s="17">
        <v>2612</v>
      </c>
      <c r="L196" s="17">
        <v>2612</v>
      </c>
      <c r="M196" s="17">
        <v>3918</v>
      </c>
      <c r="N196" s="17">
        <v>3918</v>
      </c>
      <c r="O196" s="17">
        <v>2612</v>
      </c>
      <c r="P196" s="18">
        <f>SUM(K196:O196)</f>
        <v>15672</v>
      </c>
      <c r="Q196" s="37"/>
      <c r="R196" s="76">
        <v>46215</v>
      </c>
    </row>
    <row r="197" spans="1:18" s="13" customFormat="1" ht="30.75" customHeight="1" thickBot="1" x14ac:dyDescent="0.2">
      <c r="A197" s="44" t="s">
        <v>17</v>
      </c>
      <c r="B197" s="50" t="s">
        <v>13</v>
      </c>
      <c r="C197" s="50" t="s">
        <v>14</v>
      </c>
      <c r="D197" s="135" t="s">
        <v>9</v>
      </c>
      <c r="E197" s="50" t="s">
        <v>22</v>
      </c>
      <c r="F197" s="50" t="s">
        <v>8</v>
      </c>
      <c r="G197" s="10" t="s">
        <v>7</v>
      </c>
      <c r="H197" s="10" t="s">
        <v>5</v>
      </c>
      <c r="I197" s="10" t="s">
        <v>6</v>
      </c>
      <c r="J197" s="11" t="s">
        <v>4</v>
      </c>
      <c r="K197" s="14" t="s">
        <v>28</v>
      </c>
      <c r="L197" s="14" t="s">
        <v>29</v>
      </c>
      <c r="M197" s="14" t="s">
        <v>1</v>
      </c>
      <c r="N197" s="14" t="s">
        <v>24</v>
      </c>
      <c r="O197" s="14" t="s">
        <v>25</v>
      </c>
      <c r="P197" s="12" t="s">
        <v>10</v>
      </c>
      <c r="Q197" s="12" t="s">
        <v>3</v>
      </c>
      <c r="R197" s="85" t="s">
        <v>0</v>
      </c>
    </row>
    <row r="198" spans="1:18" s="3" customFormat="1" ht="15.95" customHeight="1" x14ac:dyDescent="0.2">
      <c r="A198" s="86" t="s">
        <v>32</v>
      </c>
      <c r="B198" s="87" t="s">
        <v>31</v>
      </c>
      <c r="C198" s="87">
        <v>14225</v>
      </c>
      <c r="D198" s="87" t="s">
        <v>33</v>
      </c>
      <c r="E198" s="88">
        <f>P196</f>
        <v>15672</v>
      </c>
      <c r="F198" s="89"/>
      <c r="G198" s="4">
        <v>46196</v>
      </c>
      <c r="H198" s="5">
        <v>20</v>
      </c>
      <c r="I198" s="5"/>
      <c r="J198" s="5">
        <v>74</v>
      </c>
      <c r="K198" s="5">
        <v>40</v>
      </c>
      <c r="L198" s="5">
        <v>40</v>
      </c>
      <c r="M198" s="5">
        <v>60</v>
      </c>
      <c r="N198" s="5">
        <v>60</v>
      </c>
      <c r="O198" s="5">
        <v>40</v>
      </c>
      <c r="P198" s="6">
        <f>IF(G198="","",SUM(K198:O198))</f>
        <v>240</v>
      </c>
      <c r="Q198" s="7">
        <f>IF(P198="","",P198)</f>
        <v>240</v>
      </c>
      <c r="R198" s="79" t="s">
        <v>23</v>
      </c>
    </row>
    <row r="199" spans="1:18" ht="15.95" customHeight="1" x14ac:dyDescent="0.25">
      <c r="A199" s="47" t="s">
        <v>37</v>
      </c>
      <c r="B199" s="55"/>
      <c r="C199" s="9"/>
      <c r="D199" s="136" t="s">
        <v>42</v>
      </c>
      <c r="E199" s="56"/>
      <c r="F199" s="57"/>
      <c r="G199" s="8">
        <v>46196</v>
      </c>
      <c r="H199" s="9">
        <v>20</v>
      </c>
      <c r="I199" s="9"/>
      <c r="J199" s="9">
        <v>75</v>
      </c>
      <c r="K199" s="9">
        <v>40</v>
      </c>
      <c r="L199" s="9">
        <v>40</v>
      </c>
      <c r="M199" s="9">
        <v>60</v>
      </c>
      <c r="N199" s="9">
        <v>60</v>
      </c>
      <c r="O199" s="9">
        <v>40</v>
      </c>
      <c r="P199" s="6">
        <f>IF(G199="","",SUM(K199:O199))</f>
        <v>240</v>
      </c>
      <c r="Q199" s="6">
        <f>IF(P199="","",Q198+P199)</f>
        <v>480</v>
      </c>
      <c r="R199" s="42" t="s">
        <v>23</v>
      </c>
    </row>
    <row r="200" spans="1:18" ht="15.95" customHeight="1" x14ac:dyDescent="0.25">
      <c r="A200" s="47"/>
      <c r="B200" s="55"/>
      <c r="C200" s="9"/>
      <c r="D200" s="137"/>
      <c r="E200" s="56"/>
      <c r="F200" s="57"/>
      <c r="G200" s="4">
        <v>46196</v>
      </c>
      <c r="H200" s="5">
        <v>20</v>
      </c>
      <c r="I200" s="5"/>
      <c r="J200" s="5">
        <v>76</v>
      </c>
      <c r="K200" s="5">
        <v>40</v>
      </c>
      <c r="L200" s="5">
        <v>40</v>
      </c>
      <c r="M200" s="5">
        <v>60</v>
      </c>
      <c r="N200" s="5">
        <v>60</v>
      </c>
      <c r="O200" s="5">
        <v>40</v>
      </c>
      <c r="P200" s="6">
        <f>IF(G200="","",SUM(K200:O200))</f>
        <v>240</v>
      </c>
      <c r="Q200" s="6">
        <f t="shared" ref="Q200" si="137">IF(P200="","",Q199+P200)</f>
        <v>720</v>
      </c>
      <c r="R200" s="42" t="s">
        <v>23</v>
      </c>
    </row>
    <row r="201" spans="1:18" ht="15.95" customHeight="1" x14ac:dyDescent="0.25">
      <c r="A201" s="47"/>
      <c r="B201" s="55"/>
      <c r="C201" s="9"/>
      <c r="D201" s="136"/>
      <c r="E201" s="56"/>
      <c r="F201" s="57"/>
      <c r="G201" s="8">
        <v>46196</v>
      </c>
      <c r="H201" s="9">
        <v>20</v>
      </c>
      <c r="I201" s="9"/>
      <c r="J201" s="9">
        <v>77</v>
      </c>
      <c r="K201" s="9">
        <v>40</v>
      </c>
      <c r="L201" s="9">
        <v>40</v>
      </c>
      <c r="M201" s="9">
        <v>60</v>
      </c>
      <c r="N201" s="9">
        <v>60</v>
      </c>
      <c r="O201" s="9">
        <v>40</v>
      </c>
      <c r="P201" s="6">
        <f t="shared" ref="P201:P209" si="138">IF(G201="","",SUM(K201:O201))</f>
        <v>240</v>
      </c>
      <c r="Q201" s="6">
        <f t="shared" ref="Q201:Q209" si="139">IF(P201="","",Q200+P201)</f>
        <v>960</v>
      </c>
      <c r="R201" s="42" t="s">
        <v>23</v>
      </c>
    </row>
    <row r="202" spans="1:18" ht="15.95" customHeight="1" x14ac:dyDescent="0.25">
      <c r="A202" s="47"/>
      <c r="B202" s="55"/>
      <c r="C202" s="9"/>
      <c r="D202" s="136"/>
      <c r="E202" s="56"/>
      <c r="F202" s="57"/>
      <c r="G202" s="4">
        <v>46196</v>
      </c>
      <c r="H202" s="5">
        <v>20</v>
      </c>
      <c r="I202" s="5"/>
      <c r="J202" s="5">
        <v>78</v>
      </c>
      <c r="K202" s="5">
        <v>40</v>
      </c>
      <c r="L202" s="5">
        <v>40</v>
      </c>
      <c r="M202" s="5">
        <v>60</v>
      </c>
      <c r="N202" s="5">
        <v>60</v>
      </c>
      <c r="O202" s="5">
        <v>40</v>
      </c>
      <c r="P202" s="6">
        <f t="shared" si="138"/>
        <v>240</v>
      </c>
      <c r="Q202" s="6">
        <f t="shared" si="139"/>
        <v>1200</v>
      </c>
      <c r="R202" s="42" t="s">
        <v>23</v>
      </c>
    </row>
    <row r="203" spans="1:18" ht="15.95" customHeight="1" x14ac:dyDescent="0.25">
      <c r="A203" s="47"/>
      <c r="B203" s="55"/>
      <c r="C203" s="9"/>
      <c r="D203" s="136"/>
      <c r="E203" s="56"/>
      <c r="F203" s="57"/>
      <c r="G203" s="8">
        <v>46196</v>
      </c>
      <c r="H203" s="9">
        <v>20</v>
      </c>
      <c r="I203" s="9"/>
      <c r="J203" s="9">
        <v>79</v>
      </c>
      <c r="K203" s="9">
        <v>40</v>
      </c>
      <c r="L203" s="9">
        <v>40</v>
      </c>
      <c r="M203" s="9">
        <v>60</v>
      </c>
      <c r="N203" s="9">
        <v>60</v>
      </c>
      <c r="O203" s="9">
        <v>40</v>
      </c>
      <c r="P203" s="6">
        <f t="shared" si="138"/>
        <v>240</v>
      </c>
      <c r="Q203" s="6">
        <f t="shared" si="139"/>
        <v>1440</v>
      </c>
      <c r="R203" s="42" t="s">
        <v>23</v>
      </c>
    </row>
    <row r="204" spans="1:18" ht="15.95" customHeight="1" x14ac:dyDescent="0.25">
      <c r="A204" s="47"/>
      <c r="B204" s="55"/>
      <c r="C204" s="9"/>
      <c r="D204" s="136"/>
      <c r="E204" s="56"/>
      <c r="F204" s="57"/>
      <c r="G204" s="126">
        <v>46197</v>
      </c>
      <c r="H204" s="127">
        <v>20</v>
      </c>
      <c r="I204" s="127"/>
      <c r="J204" s="127">
        <v>80</v>
      </c>
      <c r="K204" s="127">
        <v>40</v>
      </c>
      <c r="L204" s="127">
        <v>40</v>
      </c>
      <c r="M204" s="127">
        <v>60</v>
      </c>
      <c r="N204" s="127">
        <v>60</v>
      </c>
      <c r="O204" s="127">
        <v>40</v>
      </c>
      <c r="P204" s="78">
        <f t="shared" si="138"/>
        <v>240</v>
      </c>
      <c r="Q204" s="78">
        <f t="shared" si="139"/>
        <v>1680</v>
      </c>
      <c r="R204" s="74" t="s">
        <v>23</v>
      </c>
    </row>
    <row r="205" spans="1:18" ht="15.95" customHeight="1" x14ac:dyDescent="0.25">
      <c r="A205" s="47"/>
      <c r="B205" s="55"/>
      <c r="C205" s="9"/>
      <c r="D205" s="136"/>
      <c r="E205" s="56"/>
      <c r="F205" s="57"/>
      <c r="G205" s="126">
        <v>46197</v>
      </c>
      <c r="H205" s="73">
        <v>20</v>
      </c>
      <c r="I205" s="73"/>
      <c r="J205" s="73">
        <v>81</v>
      </c>
      <c r="K205" s="73">
        <v>40</v>
      </c>
      <c r="L205" s="73">
        <v>40</v>
      </c>
      <c r="M205" s="73">
        <v>60</v>
      </c>
      <c r="N205" s="73">
        <v>60</v>
      </c>
      <c r="O205" s="73">
        <v>40</v>
      </c>
      <c r="P205" s="78">
        <f t="shared" si="138"/>
        <v>240</v>
      </c>
      <c r="Q205" s="78">
        <f t="shared" si="139"/>
        <v>1920</v>
      </c>
      <c r="R205" s="74" t="s">
        <v>23</v>
      </c>
    </row>
    <row r="206" spans="1:18" ht="15.95" customHeight="1" x14ac:dyDescent="0.25">
      <c r="A206" s="47"/>
      <c r="B206" s="55"/>
      <c r="C206" s="9"/>
      <c r="D206" s="136"/>
      <c r="E206" s="56"/>
      <c r="F206" s="57"/>
      <c r="G206" s="126">
        <v>46197</v>
      </c>
      <c r="H206" s="127">
        <v>20</v>
      </c>
      <c r="I206" s="127"/>
      <c r="J206" s="127">
        <v>82</v>
      </c>
      <c r="K206" s="127">
        <v>40</v>
      </c>
      <c r="L206" s="127">
        <v>40</v>
      </c>
      <c r="M206" s="127">
        <v>60</v>
      </c>
      <c r="N206" s="127">
        <v>60</v>
      </c>
      <c r="O206" s="127">
        <v>40</v>
      </c>
      <c r="P206" s="78">
        <f t="shared" si="138"/>
        <v>240</v>
      </c>
      <c r="Q206" s="78">
        <f t="shared" si="139"/>
        <v>2160</v>
      </c>
      <c r="R206" s="74" t="s">
        <v>23</v>
      </c>
    </row>
    <row r="207" spans="1:18" ht="15.95" customHeight="1" x14ac:dyDescent="0.25">
      <c r="A207" s="47"/>
      <c r="B207" s="55"/>
      <c r="C207" s="9"/>
      <c r="D207" s="136"/>
      <c r="E207" s="56"/>
      <c r="F207" s="57"/>
      <c r="G207" s="72">
        <v>46197</v>
      </c>
      <c r="H207" s="73">
        <v>20</v>
      </c>
      <c r="I207" s="73"/>
      <c r="J207" s="73">
        <v>83</v>
      </c>
      <c r="K207" s="73">
        <v>40</v>
      </c>
      <c r="L207" s="73">
        <v>40</v>
      </c>
      <c r="M207" s="73">
        <v>60</v>
      </c>
      <c r="N207" s="73">
        <v>60</v>
      </c>
      <c r="O207" s="73">
        <v>40</v>
      </c>
      <c r="P207" s="78">
        <f t="shared" si="138"/>
        <v>240</v>
      </c>
      <c r="Q207" s="78">
        <f t="shared" si="139"/>
        <v>2400</v>
      </c>
      <c r="R207" s="74" t="s">
        <v>23</v>
      </c>
    </row>
    <row r="208" spans="1:18" ht="15.95" customHeight="1" x14ac:dyDescent="0.25">
      <c r="A208" s="47"/>
      <c r="B208" s="55"/>
      <c r="C208" s="9"/>
      <c r="D208" s="136"/>
      <c r="E208" s="56"/>
      <c r="F208" s="57"/>
      <c r="G208" s="126">
        <v>46197</v>
      </c>
      <c r="H208" s="127">
        <v>20</v>
      </c>
      <c r="I208" s="127"/>
      <c r="J208" s="127">
        <v>84</v>
      </c>
      <c r="K208" s="127">
        <v>40</v>
      </c>
      <c r="L208" s="127">
        <v>40</v>
      </c>
      <c r="M208" s="127">
        <v>60</v>
      </c>
      <c r="N208" s="127">
        <v>60</v>
      </c>
      <c r="O208" s="127">
        <v>40</v>
      </c>
      <c r="P208" s="78">
        <f t="shared" si="138"/>
        <v>240</v>
      </c>
      <c r="Q208" s="78">
        <f t="shared" si="139"/>
        <v>2640</v>
      </c>
      <c r="R208" s="74" t="s">
        <v>23</v>
      </c>
    </row>
    <row r="209" spans="1:18" ht="15.95" customHeight="1" x14ac:dyDescent="0.25">
      <c r="A209" s="47"/>
      <c r="B209" s="55"/>
      <c r="C209" s="9"/>
      <c r="D209" s="136"/>
      <c r="E209" s="56"/>
      <c r="F209" s="57"/>
      <c r="G209" s="126">
        <v>46197</v>
      </c>
      <c r="H209" s="73">
        <v>20</v>
      </c>
      <c r="I209" s="73"/>
      <c r="J209" s="73">
        <v>85</v>
      </c>
      <c r="K209" s="73">
        <v>40</v>
      </c>
      <c r="L209" s="73">
        <v>40</v>
      </c>
      <c r="M209" s="73">
        <v>60</v>
      </c>
      <c r="N209" s="73">
        <v>60</v>
      </c>
      <c r="O209" s="73">
        <v>40</v>
      </c>
      <c r="P209" s="78">
        <f t="shared" si="138"/>
        <v>240</v>
      </c>
      <c r="Q209" s="78">
        <f t="shared" si="139"/>
        <v>2880</v>
      </c>
      <c r="R209" s="74" t="s">
        <v>23</v>
      </c>
    </row>
    <row r="210" spans="1:18" ht="15.95" customHeight="1" x14ac:dyDescent="0.25">
      <c r="A210" s="47"/>
      <c r="B210" s="55"/>
      <c r="C210" s="9"/>
      <c r="D210" s="136"/>
      <c r="E210" s="56"/>
      <c r="F210" s="57"/>
      <c r="G210" s="126">
        <v>46197</v>
      </c>
      <c r="H210" s="127">
        <v>20</v>
      </c>
      <c r="I210" s="127"/>
      <c r="J210" s="127">
        <v>86</v>
      </c>
      <c r="K210" s="127">
        <v>40</v>
      </c>
      <c r="L210" s="127">
        <v>40</v>
      </c>
      <c r="M210" s="127">
        <v>60</v>
      </c>
      <c r="N210" s="127">
        <v>60</v>
      </c>
      <c r="O210" s="127">
        <v>40</v>
      </c>
      <c r="P210" s="78">
        <f t="shared" ref="P210:P211" si="140">IF(G210="","",SUM(K210:O210))</f>
        <v>240</v>
      </c>
      <c r="Q210" s="78">
        <f t="shared" ref="Q210:Q211" si="141">IF(P210="","",Q209+P210)</f>
        <v>3120</v>
      </c>
      <c r="R210" s="74" t="s">
        <v>23</v>
      </c>
    </row>
    <row r="211" spans="1:18" ht="15.95" customHeight="1" x14ac:dyDescent="0.25">
      <c r="A211" s="47"/>
      <c r="B211" s="55"/>
      <c r="C211" s="9"/>
      <c r="D211" s="136"/>
      <c r="E211" s="56"/>
      <c r="F211" s="57"/>
      <c r="G211" s="126">
        <v>46197</v>
      </c>
      <c r="H211" s="73">
        <v>20</v>
      </c>
      <c r="I211" s="73"/>
      <c r="J211" s="73">
        <v>87</v>
      </c>
      <c r="K211" s="73">
        <v>40</v>
      </c>
      <c r="L211" s="73">
        <v>40</v>
      </c>
      <c r="M211" s="73">
        <v>60</v>
      </c>
      <c r="N211" s="73">
        <v>60</v>
      </c>
      <c r="O211" s="73">
        <v>40</v>
      </c>
      <c r="P211" s="78">
        <f t="shared" si="140"/>
        <v>240</v>
      </c>
      <c r="Q211" s="78">
        <f t="shared" si="141"/>
        <v>3360</v>
      </c>
      <c r="R211" s="74" t="s">
        <v>23</v>
      </c>
    </row>
    <row r="212" spans="1:18" ht="15.95" customHeight="1" x14ac:dyDescent="0.25">
      <c r="A212" s="47"/>
      <c r="B212" s="55"/>
      <c r="C212" s="9"/>
      <c r="D212" s="136"/>
      <c r="E212" s="56"/>
      <c r="F212" s="57"/>
      <c r="G212" s="126">
        <v>46197</v>
      </c>
      <c r="H212" s="127">
        <v>20</v>
      </c>
      <c r="I212" s="127"/>
      <c r="J212" s="127">
        <v>88</v>
      </c>
      <c r="K212" s="127">
        <v>40</v>
      </c>
      <c r="L212" s="127">
        <v>40</v>
      </c>
      <c r="M212" s="127">
        <v>60</v>
      </c>
      <c r="N212" s="127">
        <v>60</v>
      </c>
      <c r="O212" s="127">
        <v>40</v>
      </c>
      <c r="P212" s="78">
        <f t="shared" ref="P212:P213" si="142">IF(G212="","",SUM(K212:O212))</f>
        <v>240</v>
      </c>
      <c r="Q212" s="78">
        <f t="shared" ref="Q212:Q213" si="143">IF(P212="","",Q211+P212)</f>
        <v>3600</v>
      </c>
      <c r="R212" s="74" t="s">
        <v>23</v>
      </c>
    </row>
    <row r="213" spans="1:18" ht="15.95" customHeight="1" x14ac:dyDescent="0.25">
      <c r="A213" s="47"/>
      <c r="B213" s="55"/>
      <c r="C213" s="9"/>
      <c r="D213" s="136"/>
      <c r="E213" s="56"/>
      <c r="F213" s="57"/>
      <c r="G213" s="126">
        <v>46197</v>
      </c>
      <c r="H213" s="73">
        <v>20</v>
      </c>
      <c r="I213" s="73"/>
      <c r="J213" s="73">
        <v>89</v>
      </c>
      <c r="K213" s="73">
        <v>40</v>
      </c>
      <c r="L213" s="73">
        <v>40</v>
      </c>
      <c r="M213" s="73">
        <v>60</v>
      </c>
      <c r="N213" s="73">
        <v>60</v>
      </c>
      <c r="O213" s="73">
        <v>40</v>
      </c>
      <c r="P213" s="78">
        <f t="shared" si="142"/>
        <v>240</v>
      </c>
      <c r="Q213" s="78">
        <f t="shared" si="143"/>
        <v>3840</v>
      </c>
      <c r="R213" s="74" t="s">
        <v>23</v>
      </c>
    </row>
    <row r="214" spans="1:18" ht="15.95" customHeight="1" x14ac:dyDescent="0.25">
      <c r="A214" s="47"/>
      <c r="B214" s="55"/>
      <c r="C214" s="9"/>
      <c r="D214" s="136"/>
      <c r="E214" s="56"/>
      <c r="F214" s="57"/>
      <c r="G214" s="126">
        <v>46198</v>
      </c>
      <c r="H214" s="127">
        <v>20</v>
      </c>
      <c r="I214" s="127"/>
      <c r="J214" s="127">
        <v>90</v>
      </c>
      <c r="K214" s="127">
        <v>40</v>
      </c>
      <c r="L214" s="127">
        <v>40</v>
      </c>
      <c r="M214" s="127">
        <v>60</v>
      </c>
      <c r="N214" s="127">
        <v>60</v>
      </c>
      <c r="O214" s="127">
        <v>40</v>
      </c>
      <c r="P214" s="78">
        <f t="shared" ref="P214" si="144">IF(G214="","",SUM(K214:O214))</f>
        <v>240</v>
      </c>
      <c r="Q214" s="78">
        <f>IF(P214="","",Q213+P214)</f>
        <v>4080</v>
      </c>
      <c r="R214" s="74" t="s">
        <v>23</v>
      </c>
    </row>
    <row r="215" spans="1:18" ht="15.95" customHeight="1" x14ac:dyDescent="0.25">
      <c r="A215" s="47"/>
      <c r="B215" s="55"/>
      <c r="C215" s="9"/>
      <c r="D215" s="136"/>
      <c r="E215" s="56"/>
      <c r="F215" s="57"/>
      <c r="G215" s="126">
        <v>46198</v>
      </c>
      <c r="H215" s="73">
        <v>20</v>
      </c>
      <c r="I215" s="73"/>
      <c r="J215" s="73">
        <v>91</v>
      </c>
      <c r="K215" s="73">
        <v>40</v>
      </c>
      <c r="L215" s="73">
        <v>40</v>
      </c>
      <c r="M215" s="73">
        <v>60</v>
      </c>
      <c r="N215" s="73">
        <v>60</v>
      </c>
      <c r="O215" s="73">
        <v>40</v>
      </c>
      <c r="P215" s="78">
        <f t="shared" ref="P215:P217" si="145">IF(G215="","",SUM(K215:O215))</f>
        <v>240</v>
      </c>
      <c r="Q215" s="78">
        <f t="shared" ref="Q215:Q217" si="146">IF(P215="","",Q214+P215)</f>
        <v>4320</v>
      </c>
      <c r="R215" s="74" t="s">
        <v>23</v>
      </c>
    </row>
    <row r="216" spans="1:18" ht="15.95" customHeight="1" x14ac:dyDescent="0.25">
      <c r="A216" s="47"/>
      <c r="B216" s="55"/>
      <c r="C216" s="9"/>
      <c r="D216" s="136"/>
      <c r="E216" s="56"/>
      <c r="F216" s="57"/>
      <c r="G216" s="126">
        <v>46198</v>
      </c>
      <c r="H216" s="127">
        <v>20</v>
      </c>
      <c r="I216" s="127"/>
      <c r="J216" s="127">
        <v>92</v>
      </c>
      <c r="K216" s="127">
        <v>40</v>
      </c>
      <c r="L216" s="127">
        <v>40</v>
      </c>
      <c r="M216" s="127">
        <v>60</v>
      </c>
      <c r="N216" s="127">
        <v>60</v>
      </c>
      <c r="O216" s="127">
        <v>40</v>
      </c>
      <c r="P216" s="78">
        <f t="shared" si="145"/>
        <v>240</v>
      </c>
      <c r="Q216" s="78">
        <f t="shared" si="146"/>
        <v>4560</v>
      </c>
      <c r="R216" s="74" t="s">
        <v>23</v>
      </c>
    </row>
    <row r="217" spans="1:18" ht="15.95" customHeight="1" x14ac:dyDescent="0.25">
      <c r="A217" s="47"/>
      <c r="B217" s="55"/>
      <c r="C217" s="9"/>
      <c r="D217" s="136"/>
      <c r="E217" s="56"/>
      <c r="F217" s="57"/>
      <c r="G217" s="126">
        <v>46198</v>
      </c>
      <c r="H217" s="73">
        <v>20</v>
      </c>
      <c r="I217" s="73"/>
      <c r="J217" s="73">
        <v>93</v>
      </c>
      <c r="K217" s="73">
        <v>40</v>
      </c>
      <c r="L217" s="73">
        <v>40</v>
      </c>
      <c r="M217" s="73">
        <v>60</v>
      </c>
      <c r="N217" s="73">
        <v>60</v>
      </c>
      <c r="O217" s="73">
        <v>40</v>
      </c>
      <c r="P217" s="78">
        <f t="shared" si="145"/>
        <v>240</v>
      </c>
      <c r="Q217" s="78">
        <f t="shared" si="146"/>
        <v>4800</v>
      </c>
      <c r="R217" s="74" t="s">
        <v>23</v>
      </c>
    </row>
    <row r="218" spans="1:18" ht="15.95" customHeight="1" x14ac:dyDescent="0.25">
      <c r="A218" s="47"/>
      <c r="B218" s="55"/>
      <c r="C218" s="9"/>
      <c r="D218" s="136"/>
      <c r="E218" s="56"/>
      <c r="F218" s="57"/>
      <c r="G218" s="126">
        <v>46198</v>
      </c>
      <c r="H218" s="127">
        <v>20</v>
      </c>
      <c r="I218" s="127"/>
      <c r="J218" s="127">
        <v>94</v>
      </c>
      <c r="K218" s="127">
        <v>40</v>
      </c>
      <c r="L218" s="127">
        <v>40</v>
      </c>
      <c r="M218" s="127">
        <v>60</v>
      </c>
      <c r="N218" s="127">
        <v>60</v>
      </c>
      <c r="O218" s="127">
        <v>40</v>
      </c>
      <c r="P218" s="78">
        <f t="shared" ref="P218:P222" si="147">IF(G218="","",SUM(K218:O218))</f>
        <v>240</v>
      </c>
      <c r="Q218" s="78">
        <f t="shared" ref="Q218:Q222" si="148">IF(P218="","",Q217+P218)</f>
        <v>5040</v>
      </c>
      <c r="R218" s="74" t="s">
        <v>23</v>
      </c>
    </row>
    <row r="219" spans="1:18" ht="15.95" customHeight="1" x14ac:dyDescent="0.25">
      <c r="A219" s="47"/>
      <c r="B219" s="55"/>
      <c r="C219" s="9"/>
      <c r="D219" s="136"/>
      <c r="E219" s="56"/>
      <c r="F219" s="57"/>
      <c r="G219" s="126">
        <v>46198</v>
      </c>
      <c r="H219" s="73">
        <v>20</v>
      </c>
      <c r="I219" s="73"/>
      <c r="J219" s="73">
        <v>95</v>
      </c>
      <c r="K219" s="73">
        <v>40</v>
      </c>
      <c r="L219" s="73">
        <v>40</v>
      </c>
      <c r="M219" s="73">
        <v>60</v>
      </c>
      <c r="N219" s="73">
        <v>60</v>
      </c>
      <c r="O219" s="73">
        <v>40</v>
      </c>
      <c r="P219" s="78">
        <f t="shared" si="147"/>
        <v>240</v>
      </c>
      <c r="Q219" s="78">
        <f t="shared" si="148"/>
        <v>5280</v>
      </c>
      <c r="R219" s="74" t="s">
        <v>23</v>
      </c>
    </row>
    <row r="220" spans="1:18" ht="15.95" customHeight="1" x14ac:dyDescent="0.25">
      <c r="A220" s="47"/>
      <c r="B220" s="55"/>
      <c r="C220" s="9"/>
      <c r="D220" s="136"/>
      <c r="E220" s="56"/>
      <c r="F220" s="57"/>
      <c r="G220" s="126">
        <v>46198</v>
      </c>
      <c r="H220" s="127">
        <v>20</v>
      </c>
      <c r="I220" s="127"/>
      <c r="J220" s="127">
        <v>96</v>
      </c>
      <c r="K220" s="127">
        <v>40</v>
      </c>
      <c r="L220" s="127">
        <v>40</v>
      </c>
      <c r="M220" s="127">
        <v>60</v>
      </c>
      <c r="N220" s="127">
        <v>60</v>
      </c>
      <c r="O220" s="127">
        <v>40</v>
      </c>
      <c r="P220" s="78">
        <f t="shared" si="147"/>
        <v>240</v>
      </c>
      <c r="Q220" s="78">
        <f t="shared" si="148"/>
        <v>5520</v>
      </c>
      <c r="R220" s="74" t="s">
        <v>23</v>
      </c>
    </row>
    <row r="221" spans="1:18" ht="15.95" customHeight="1" x14ac:dyDescent="0.25">
      <c r="A221" s="47"/>
      <c r="B221" s="55"/>
      <c r="C221" s="9"/>
      <c r="D221" s="136"/>
      <c r="E221" s="56"/>
      <c r="F221" s="57"/>
      <c r="G221" s="126">
        <v>46198</v>
      </c>
      <c r="H221" s="73">
        <v>20</v>
      </c>
      <c r="I221" s="73"/>
      <c r="J221" s="73">
        <v>97</v>
      </c>
      <c r="K221" s="73">
        <v>40</v>
      </c>
      <c r="L221" s="73">
        <v>40</v>
      </c>
      <c r="M221" s="73">
        <v>60</v>
      </c>
      <c r="N221" s="73">
        <v>60</v>
      </c>
      <c r="O221" s="73">
        <v>40</v>
      </c>
      <c r="P221" s="78">
        <f t="shared" si="147"/>
        <v>240</v>
      </c>
      <c r="Q221" s="78">
        <f t="shared" si="148"/>
        <v>5760</v>
      </c>
      <c r="R221" s="74" t="s">
        <v>23</v>
      </c>
    </row>
    <row r="222" spans="1:18" ht="15.95" customHeight="1" x14ac:dyDescent="0.25">
      <c r="A222" s="47"/>
      <c r="B222" s="55"/>
      <c r="C222" s="9"/>
      <c r="D222" s="136"/>
      <c r="E222" s="56"/>
      <c r="F222" s="57"/>
      <c r="G222" s="126">
        <v>46198</v>
      </c>
      <c r="H222" s="127">
        <v>20</v>
      </c>
      <c r="I222" s="127"/>
      <c r="J222" s="127">
        <v>98</v>
      </c>
      <c r="K222" s="127">
        <v>40</v>
      </c>
      <c r="L222" s="127">
        <v>40</v>
      </c>
      <c r="M222" s="127">
        <v>60</v>
      </c>
      <c r="N222" s="127">
        <v>60</v>
      </c>
      <c r="O222" s="127">
        <v>40</v>
      </c>
      <c r="P222" s="78">
        <f t="shared" si="147"/>
        <v>240</v>
      </c>
      <c r="Q222" s="78">
        <f t="shared" si="148"/>
        <v>6000</v>
      </c>
      <c r="R222" s="74" t="s">
        <v>23</v>
      </c>
    </row>
    <row r="223" spans="1:18" ht="15.95" customHeight="1" x14ac:dyDescent="0.25">
      <c r="A223" s="47"/>
      <c r="B223" s="55"/>
      <c r="C223" s="9"/>
      <c r="D223" s="136"/>
      <c r="E223" s="56"/>
      <c r="F223" s="57"/>
      <c r="G223" s="126">
        <v>46200</v>
      </c>
      <c r="H223" s="73">
        <v>20</v>
      </c>
      <c r="I223" s="73"/>
      <c r="J223" s="73">
        <v>99</v>
      </c>
      <c r="K223" s="73">
        <v>40</v>
      </c>
      <c r="L223" s="73">
        <v>40</v>
      </c>
      <c r="M223" s="73">
        <v>60</v>
      </c>
      <c r="N223" s="73">
        <v>60</v>
      </c>
      <c r="O223" s="73">
        <v>40</v>
      </c>
      <c r="P223" s="78">
        <f t="shared" ref="P223" si="149">IF(G223="","",SUM(K223:O223))</f>
        <v>240</v>
      </c>
      <c r="Q223" s="78">
        <f t="shared" ref="Q223" si="150">IF(P223="","",Q222+P223)</f>
        <v>6240</v>
      </c>
      <c r="R223" s="74" t="s">
        <v>23</v>
      </c>
    </row>
    <row r="224" spans="1:18" ht="15.95" customHeight="1" x14ac:dyDescent="0.25">
      <c r="A224" s="47"/>
      <c r="B224" s="55"/>
      <c r="C224" s="9"/>
      <c r="D224" s="136"/>
      <c r="E224" s="56"/>
      <c r="F224" s="57"/>
      <c r="G224" s="126">
        <v>46200</v>
      </c>
      <c r="H224" s="127">
        <v>20</v>
      </c>
      <c r="I224" s="127"/>
      <c r="J224" s="127">
        <v>1</v>
      </c>
      <c r="K224" s="127">
        <v>40</v>
      </c>
      <c r="L224" s="127">
        <v>40</v>
      </c>
      <c r="M224" s="127">
        <v>60</v>
      </c>
      <c r="N224" s="127">
        <v>60</v>
      </c>
      <c r="O224" s="127">
        <v>40</v>
      </c>
      <c r="P224" s="78">
        <f t="shared" ref="P224:P235" si="151">IF(G224="","",SUM(K224:O224))</f>
        <v>240</v>
      </c>
      <c r="Q224" s="78">
        <f t="shared" ref="Q224" si="152">IF(P224="","",Q223+P224)</f>
        <v>6480</v>
      </c>
      <c r="R224" s="74" t="s">
        <v>23</v>
      </c>
    </row>
    <row r="225" spans="1:18" ht="15.95" customHeight="1" x14ac:dyDescent="0.25">
      <c r="A225" s="47"/>
      <c r="B225" s="55"/>
      <c r="C225" s="9"/>
      <c r="D225" s="136"/>
      <c r="E225" s="56"/>
      <c r="F225" s="57"/>
      <c r="G225" s="126">
        <v>46200</v>
      </c>
      <c r="H225" s="127">
        <v>20</v>
      </c>
      <c r="I225" s="127"/>
      <c r="J225" s="127">
        <v>2</v>
      </c>
      <c r="K225" s="127">
        <v>40</v>
      </c>
      <c r="L225" s="127">
        <v>40</v>
      </c>
      <c r="M225" s="127">
        <v>60</v>
      </c>
      <c r="N225" s="127">
        <v>60</v>
      </c>
      <c r="O225" s="127">
        <v>40</v>
      </c>
      <c r="P225" s="78">
        <f t="shared" ref="P225:P226" si="153">IF(G225="","",SUM(K225:O225))</f>
        <v>240</v>
      </c>
      <c r="Q225" s="78">
        <f t="shared" ref="Q225:Q226" si="154">IF(P225="","",Q224+P225)</f>
        <v>6720</v>
      </c>
      <c r="R225" s="74" t="s">
        <v>23</v>
      </c>
    </row>
    <row r="226" spans="1:18" ht="15.95" customHeight="1" x14ac:dyDescent="0.25">
      <c r="A226" s="47"/>
      <c r="B226" s="55"/>
      <c r="C226" s="9"/>
      <c r="D226" s="136"/>
      <c r="E226" s="56"/>
      <c r="F226" s="57"/>
      <c r="G226" s="126">
        <v>46201</v>
      </c>
      <c r="H226" s="127">
        <v>20</v>
      </c>
      <c r="I226" s="127"/>
      <c r="J226" s="127">
        <v>3</v>
      </c>
      <c r="K226" s="127">
        <v>40</v>
      </c>
      <c r="L226" s="127">
        <v>40</v>
      </c>
      <c r="M226" s="127">
        <v>60</v>
      </c>
      <c r="N226" s="127">
        <v>60</v>
      </c>
      <c r="O226" s="127">
        <v>40</v>
      </c>
      <c r="P226" s="78">
        <f t="shared" si="153"/>
        <v>240</v>
      </c>
      <c r="Q226" s="78">
        <f t="shared" si="154"/>
        <v>6960</v>
      </c>
      <c r="R226" s="74" t="s">
        <v>23</v>
      </c>
    </row>
    <row r="227" spans="1:18" ht="15.95" customHeight="1" x14ac:dyDescent="0.25">
      <c r="A227" s="47"/>
      <c r="B227" s="55"/>
      <c r="C227" s="9"/>
      <c r="D227" s="136"/>
      <c r="E227" s="56"/>
      <c r="F227" s="57"/>
      <c r="G227" s="126">
        <v>46201</v>
      </c>
      <c r="H227" s="127">
        <v>20</v>
      </c>
      <c r="I227" s="127"/>
      <c r="J227" s="127">
        <v>4</v>
      </c>
      <c r="K227" s="127">
        <v>40</v>
      </c>
      <c r="L227" s="127">
        <v>40</v>
      </c>
      <c r="M227" s="127">
        <v>60</v>
      </c>
      <c r="N227" s="127">
        <v>60</v>
      </c>
      <c r="O227" s="127">
        <v>40</v>
      </c>
      <c r="P227" s="78">
        <f t="shared" ref="P227:P228" si="155">IF(G227="","",SUM(K227:O227))</f>
        <v>240</v>
      </c>
      <c r="Q227" s="78">
        <f t="shared" ref="Q227:Q228" si="156">IF(P227="","",Q226+P227)</f>
        <v>7200</v>
      </c>
      <c r="R227" s="74" t="s">
        <v>23</v>
      </c>
    </row>
    <row r="228" spans="1:18" ht="15.95" customHeight="1" x14ac:dyDescent="0.25">
      <c r="A228" s="47"/>
      <c r="B228" s="55"/>
      <c r="C228" s="9"/>
      <c r="D228" s="136"/>
      <c r="E228" s="56"/>
      <c r="F228" s="57"/>
      <c r="G228" s="126">
        <v>46201</v>
      </c>
      <c r="H228" s="127">
        <v>20</v>
      </c>
      <c r="I228" s="127"/>
      <c r="J228" s="127">
        <v>5</v>
      </c>
      <c r="K228" s="127">
        <v>40</v>
      </c>
      <c r="L228" s="127">
        <v>40</v>
      </c>
      <c r="M228" s="127">
        <v>60</v>
      </c>
      <c r="N228" s="127">
        <v>60</v>
      </c>
      <c r="O228" s="127">
        <v>40</v>
      </c>
      <c r="P228" s="78">
        <f t="shared" si="155"/>
        <v>240</v>
      </c>
      <c r="Q228" s="78">
        <f t="shared" si="156"/>
        <v>7440</v>
      </c>
      <c r="R228" s="74" t="s">
        <v>23</v>
      </c>
    </row>
    <row r="229" spans="1:18" ht="15.95" customHeight="1" x14ac:dyDescent="0.25">
      <c r="A229" s="47"/>
      <c r="B229" s="55"/>
      <c r="C229" s="9"/>
      <c r="D229" s="136"/>
      <c r="E229" s="56"/>
      <c r="F229" s="57"/>
      <c r="G229" s="162">
        <v>46202</v>
      </c>
      <c r="H229" s="125">
        <v>20</v>
      </c>
      <c r="I229" s="125"/>
      <c r="J229" s="125">
        <v>6</v>
      </c>
      <c r="K229" s="125">
        <v>40</v>
      </c>
      <c r="L229" s="125">
        <v>40</v>
      </c>
      <c r="M229" s="125">
        <v>60</v>
      </c>
      <c r="N229" s="125">
        <v>60</v>
      </c>
      <c r="O229" s="125">
        <v>40</v>
      </c>
      <c r="P229" s="120">
        <f t="shared" ref="P229" si="157">IF(G229="","",SUM(K229:O229))</f>
        <v>240</v>
      </c>
      <c r="Q229" s="120">
        <f t="shared" ref="Q229" si="158">IF(P229="","",Q228+P229)</f>
        <v>7680</v>
      </c>
      <c r="R229" s="121" t="s">
        <v>23</v>
      </c>
    </row>
    <row r="230" spans="1:18" ht="15.95" customHeight="1" x14ac:dyDescent="0.25">
      <c r="A230" s="47"/>
      <c r="B230" s="55"/>
      <c r="C230" s="9"/>
      <c r="D230" s="136"/>
      <c r="E230" s="56"/>
      <c r="F230" s="57"/>
      <c r="G230" s="162">
        <v>46202</v>
      </c>
      <c r="H230" s="125">
        <v>20</v>
      </c>
      <c r="I230" s="125"/>
      <c r="J230" s="125">
        <v>7</v>
      </c>
      <c r="K230" s="125">
        <v>40</v>
      </c>
      <c r="L230" s="125">
        <v>40</v>
      </c>
      <c r="M230" s="125">
        <v>60</v>
      </c>
      <c r="N230" s="125">
        <v>60</v>
      </c>
      <c r="O230" s="125">
        <v>40</v>
      </c>
      <c r="P230" s="120">
        <f t="shared" ref="P230:P231" si="159">IF(G230="","",SUM(K230:O230))</f>
        <v>240</v>
      </c>
      <c r="Q230" s="120">
        <f t="shared" ref="Q230:Q231" si="160">IF(P230="","",Q229+P230)</f>
        <v>7920</v>
      </c>
      <c r="R230" s="121" t="s">
        <v>23</v>
      </c>
    </row>
    <row r="231" spans="1:18" ht="15.95" customHeight="1" x14ac:dyDescent="0.25">
      <c r="A231" s="47"/>
      <c r="B231" s="55"/>
      <c r="C231" s="9"/>
      <c r="D231" s="136"/>
      <c r="E231" s="56"/>
      <c r="F231" s="57"/>
      <c r="G231" s="162">
        <v>46202</v>
      </c>
      <c r="H231" s="125">
        <v>20</v>
      </c>
      <c r="I231" s="125"/>
      <c r="J231" s="125">
        <v>8</v>
      </c>
      <c r="K231" s="125">
        <v>40</v>
      </c>
      <c r="L231" s="125">
        <v>40</v>
      </c>
      <c r="M231" s="125">
        <v>60</v>
      </c>
      <c r="N231" s="125">
        <v>60</v>
      </c>
      <c r="O231" s="125">
        <v>40</v>
      </c>
      <c r="P231" s="120">
        <f t="shared" si="159"/>
        <v>240</v>
      </c>
      <c r="Q231" s="120">
        <f t="shared" si="160"/>
        <v>8160</v>
      </c>
      <c r="R231" s="121" t="s">
        <v>23</v>
      </c>
    </row>
    <row r="232" spans="1:18" ht="15.95" customHeight="1" x14ac:dyDescent="0.25">
      <c r="A232" s="47"/>
      <c r="B232" s="55"/>
      <c r="C232" s="9"/>
      <c r="D232" s="136"/>
      <c r="E232" s="56"/>
      <c r="F232" s="57"/>
      <c r="G232" s="162">
        <v>46202</v>
      </c>
      <c r="H232" s="125">
        <v>20</v>
      </c>
      <c r="I232" s="125"/>
      <c r="J232" s="125">
        <v>9</v>
      </c>
      <c r="K232" s="125">
        <v>40</v>
      </c>
      <c r="L232" s="125">
        <v>40</v>
      </c>
      <c r="M232" s="125">
        <v>60</v>
      </c>
      <c r="N232" s="125">
        <v>60</v>
      </c>
      <c r="O232" s="125">
        <v>40</v>
      </c>
      <c r="P232" s="120">
        <f t="shared" ref="P232" si="161">IF(G232="","",SUM(K232:O232))</f>
        <v>240</v>
      </c>
      <c r="Q232" s="120">
        <f t="shared" ref="Q232" si="162">IF(P232="","",Q231+P232)</f>
        <v>8400</v>
      </c>
      <c r="R232" s="121" t="s">
        <v>23</v>
      </c>
    </row>
    <row r="233" spans="1:18" ht="15.95" customHeight="1" x14ac:dyDescent="0.25">
      <c r="A233" s="47"/>
      <c r="B233" s="55"/>
      <c r="C233" s="9"/>
      <c r="D233" s="136"/>
      <c r="E233" s="56"/>
      <c r="F233" s="57"/>
      <c r="G233" s="162"/>
      <c r="H233" s="125"/>
      <c r="I233" s="125"/>
      <c r="J233" s="125"/>
      <c r="K233" s="125"/>
      <c r="L233" s="125"/>
      <c r="M233" s="125"/>
      <c r="N233" s="125"/>
      <c r="O233" s="125"/>
      <c r="P233" s="120" t="str">
        <f t="shared" ref="P231:P234" si="163">IF(G233="","",SUM(K233:O233))</f>
        <v/>
      </c>
      <c r="Q233" s="120" t="str">
        <f t="shared" ref="Q231:Q234" si="164">IF(P233="","",Q232+P233)</f>
        <v/>
      </c>
      <c r="R233" s="121"/>
    </row>
    <row r="234" spans="1:18" ht="15.95" customHeight="1" x14ac:dyDescent="0.25">
      <c r="A234" s="47"/>
      <c r="B234" s="55"/>
      <c r="C234" s="9"/>
      <c r="D234" s="136"/>
      <c r="E234" s="56"/>
      <c r="F234" s="57"/>
      <c r="G234" s="162"/>
      <c r="H234" s="125"/>
      <c r="I234" s="125"/>
      <c r="J234" s="125"/>
      <c r="K234" s="125"/>
      <c r="L234" s="125"/>
      <c r="M234" s="125"/>
      <c r="N234" s="125"/>
      <c r="O234" s="125"/>
      <c r="P234" s="120" t="str">
        <f t="shared" si="163"/>
        <v/>
      </c>
      <c r="Q234" s="120" t="str">
        <f t="shared" si="164"/>
        <v/>
      </c>
      <c r="R234" s="121"/>
    </row>
    <row r="235" spans="1:18" ht="15.95" customHeight="1" thickBot="1" x14ac:dyDescent="0.3">
      <c r="A235" s="47"/>
      <c r="B235" s="55"/>
      <c r="C235" s="9"/>
      <c r="D235" s="136"/>
      <c r="E235" s="56"/>
      <c r="F235" s="57"/>
      <c r="G235" s="8"/>
      <c r="H235" s="9"/>
      <c r="I235" s="9"/>
      <c r="J235" s="9"/>
      <c r="K235" s="9"/>
      <c r="L235" s="9"/>
      <c r="M235" s="9"/>
      <c r="N235" s="9"/>
      <c r="O235" s="9"/>
      <c r="P235" s="78" t="str">
        <f t="shared" si="151"/>
        <v/>
      </c>
      <c r="Q235" s="78" t="str">
        <f>IF(P235="","",Q228+P235)</f>
        <v/>
      </c>
      <c r="R235" s="42"/>
    </row>
    <row r="236" spans="1:18" ht="19.5" customHeight="1" thickBot="1" x14ac:dyDescent="0.3">
      <c r="A236" s="48"/>
      <c r="B236" s="58"/>
      <c r="C236" s="58"/>
      <c r="D236" s="138"/>
      <c r="E236" s="59"/>
      <c r="F236" s="58"/>
      <c r="G236" s="19"/>
      <c r="H236" s="20"/>
      <c r="I236" s="21"/>
      <c r="J236" s="22" t="s">
        <v>11</v>
      </c>
      <c r="K236" s="38">
        <f>SUM(K198:K235)</f>
        <v>1400</v>
      </c>
      <c r="L236" s="38">
        <f>SUM(L198:L235)</f>
        <v>1400</v>
      </c>
      <c r="M236" s="38">
        <f>SUM(M198:M235)</f>
        <v>2100</v>
      </c>
      <c r="N236" s="38">
        <f>SUM(N198:N235)</f>
        <v>2100</v>
      </c>
      <c r="O236" s="38">
        <f>SUM(O198:O235)</f>
        <v>1400</v>
      </c>
      <c r="P236" s="38">
        <f>SUM(K236:O236)</f>
        <v>8400</v>
      </c>
      <c r="Q236" s="27"/>
      <c r="R236" s="82"/>
    </row>
    <row r="237" spans="1:18" ht="19.5" thickBot="1" x14ac:dyDescent="0.3">
      <c r="A237" s="49"/>
      <c r="B237" s="60"/>
      <c r="C237" s="60"/>
      <c r="D237" s="139"/>
      <c r="E237" s="60"/>
      <c r="F237" s="60"/>
      <c r="G237" s="24"/>
      <c r="H237" s="24"/>
      <c r="I237" s="25"/>
      <c r="J237" s="26" t="s">
        <v>12</v>
      </c>
      <c r="K237" s="39">
        <f>IF(K196="","",K236-K196)</f>
        <v>-1212</v>
      </c>
      <c r="L237" s="39">
        <f>IF(L196="","",L236-L196)</f>
        <v>-1212</v>
      </c>
      <c r="M237" s="39">
        <f>IF(M196="","",M236-M196)</f>
        <v>-1818</v>
      </c>
      <c r="N237" s="39">
        <f>IF(N196="","",N236-N196)</f>
        <v>-1818</v>
      </c>
      <c r="O237" s="39">
        <f>IF(O196="","",O236-O196)</f>
        <v>-1212</v>
      </c>
      <c r="P237" s="39">
        <f>SUM(K237:O237)</f>
        <v>-7272</v>
      </c>
      <c r="Q237" s="27"/>
      <c r="R237" s="83"/>
    </row>
    <row r="238" spans="1:18" x14ac:dyDescent="0.25">
      <c r="I238"/>
      <c r="J238" s="71">
        <v>49</v>
      </c>
      <c r="K238" s="70">
        <f t="shared" ref="K238:P238" si="165">SUM(K125:K166)</f>
        <v>1680</v>
      </c>
      <c r="L238" s="70">
        <f t="shared" si="165"/>
        <v>1680</v>
      </c>
      <c r="M238" s="70">
        <f t="shared" si="165"/>
        <v>2520</v>
      </c>
      <c r="N238" s="70">
        <f t="shared" si="165"/>
        <v>2520</v>
      </c>
      <c r="O238" s="70">
        <f t="shared" si="165"/>
        <v>1680</v>
      </c>
      <c r="P238" s="70">
        <f t="shared" si="165"/>
        <v>10080</v>
      </c>
      <c r="Q238" s="29"/>
    </row>
    <row r="239" spans="1:18" ht="15.75" customHeight="1" x14ac:dyDescent="0.25">
      <c r="I239"/>
      <c r="J239" s="63" t="s">
        <v>18</v>
      </c>
      <c r="K239" s="75">
        <f t="shared" ref="K239:P239" si="166">K44+K3+K123</f>
        <v>6746</v>
      </c>
      <c r="L239" s="75">
        <f t="shared" si="166"/>
        <v>6746</v>
      </c>
      <c r="M239" s="75">
        <f t="shared" si="166"/>
        <v>10119</v>
      </c>
      <c r="N239" s="75">
        <f t="shared" si="166"/>
        <v>10119</v>
      </c>
      <c r="O239" s="75">
        <f t="shared" si="166"/>
        <v>6746</v>
      </c>
      <c r="P239" s="75">
        <f t="shared" si="166"/>
        <v>40476</v>
      </c>
      <c r="Q239" s="29"/>
    </row>
    <row r="240" spans="1:18" ht="15.75" customHeight="1" x14ac:dyDescent="0.25">
      <c r="I240"/>
      <c r="J240" s="63" t="s">
        <v>19</v>
      </c>
      <c r="K240" s="75">
        <f t="shared" ref="K240:P240" si="167">K119+K40+K192</f>
        <v>6814</v>
      </c>
      <c r="L240" s="75">
        <f t="shared" si="167"/>
        <v>6814</v>
      </c>
      <c r="M240" s="75">
        <f t="shared" si="167"/>
        <v>10221</v>
      </c>
      <c r="N240" s="75">
        <f t="shared" si="167"/>
        <v>10221</v>
      </c>
      <c r="O240" s="75">
        <f t="shared" si="167"/>
        <v>6814</v>
      </c>
      <c r="P240" s="75">
        <f t="shared" si="167"/>
        <v>40884</v>
      </c>
      <c r="Q240" s="29"/>
    </row>
    <row r="241" spans="1:18" ht="15.75" customHeight="1" x14ac:dyDescent="0.25">
      <c r="I241"/>
      <c r="J241" s="64" t="s">
        <v>20</v>
      </c>
      <c r="K241" s="66">
        <f>K240-K239</f>
        <v>68</v>
      </c>
      <c r="L241" s="66">
        <f t="shared" ref="L241:P241" si="168">L240-L239</f>
        <v>68</v>
      </c>
      <c r="M241" s="66">
        <f t="shared" si="168"/>
        <v>102</v>
      </c>
      <c r="N241" s="66">
        <f t="shared" si="168"/>
        <v>102</v>
      </c>
      <c r="O241" s="66">
        <f t="shared" si="168"/>
        <v>68</v>
      </c>
      <c r="P241" s="66">
        <f t="shared" si="168"/>
        <v>408</v>
      </c>
      <c r="Q241" s="29"/>
    </row>
    <row r="242" spans="1:18" ht="15.75" customHeight="1" x14ac:dyDescent="0.25">
      <c r="I242"/>
      <c r="J242" s="65" t="s">
        <v>21</v>
      </c>
      <c r="K242" s="68">
        <f>K241/K239</f>
        <v>1.0080047435517344E-2</v>
      </c>
      <c r="L242" s="68">
        <f t="shared" ref="L242:P242" si="169">L241/L239</f>
        <v>1.0080047435517344E-2</v>
      </c>
      <c r="M242" s="68">
        <f t="shared" si="169"/>
        <v>1.0080047435517344E-2</v>
      </c>
      <c r="N242" s="68">
        <f t="shared" si="169"/>
        <v>1.0080047435517344E-2</v>
      </c>
      <c r="O242" s="68">
        <f t="shared" si="169"/>
        <v>1.0080047435517344E-2</v>
      </c>
      <c r="P242" s="68">
        <f t="shared" si="169"/>
        <v>1.0080047435517344E-2</v>
      </c>
      <c r="Q242" s="29"/>
    </row>
    <row r="243" spans="1:18" ht="15.75" customHeight="1" x14ac:dyDescent="0.25">
      <c r="I243"/>
      <c r="J243" s="71"/>
      <c r="K243" s="75"/>
      <c r="L243" s="75"/>
      <c r="M243" s="75"/>
      <c r="N243" s="75"/>
      <c r="O243" s="75"/>
      <c r="P243" s="75"/>
      <c r="Q243" s="29"/>
    </row>
    <row r="244" spans="1:18" s="31" customFormat="1" ht="18.75" customHeight="1" x14ac:dyDescent="0.3">
      <c r="A244" s="45"/>
      <c r="B244" s="62"/>
      <c r="C244" s="62"/>
      <c r="D244" s="141"/>
      <c r="E244" s="62"/>
      <c r="F244" s="62"/>
      <c r="G244" s="34"/>
      <c r="H244" s="34"/>
      <c r="I244" s="35"/>
      <c r="J244" s="34"/>
      <c r="K244" s="28"/>
      <c r="L244" s="28"/>
      <c r="M244" s="28"/>
      <c r="N244" s="28"/>
      <c r="O244" s="63" t="s">
        <v>18</v>
      </c>
      <c r="P244" s="66">
        <f>P44+P3+P123+P196</f>
        <v>56148</v>
      </c>
      <c r="Q244" s="35"/>
      <c r="R244" s="84"/>
    </row>
    <row r="245" spans="1:18" x14ac:dyDescent="0.25">
      <c r="K245" s="28"/>
      <c r="L245" s="28"/>
      <c r="M245" s="28"/>
      <c r="N245" s="28"/>
      <c r="O245" s="63" t="s">
        <v>19</v>
      </c>
      <c r="P245" s="67">
        <f>P119+P40+P192+P236</f>
        <v>49284</v>
      </c>
    </row>
    <row r="246" spans="1:18" x14ac:dyDescent="0.25">
      <c r="K246" s="36"/>
      <c r="L246" s="36"/>
      <c r="M246" s="36"/>
      <c r="N246" s="36"/>
      <c r="O246" s="64" t="s">
        <v>20</v>
      </c>
      <c r="P246" s="66">
        <f>P245-P244</f>
        <v>-6864</v>
      </c>
    </row>
    <row r="247" spans="1:18" ht="18.75" x14ac:dyDescent="0.25">
      <c r="A247"/>
      <c r="B247"/>
      <c r="C247"/>
      <c r="E247"/>
      <c r="F247"/>
      <c r="I247"/>
      <c r="K247"/>
      <c r="L247"/>
      <c r="M247"/>
      <c r="N247"/>
      <c r="O247" s="65" t="s">
        <v>21</v>
      </c>
      <c r="P247" s="68">
        <f>P246/P244</f>
        <v>-0.1222483436631759</v>
      </c>
      <c r="Q247" s="173" t="s">
        <v>15</v>
      </c>
      <c r="R247" s="173"/>
    </row>
    <row r="249" spans="1:18" x14ac:dyDescent="0.25">
      <c r="N249" s="142" t="s">
        <v>48</v>
      </c>
      <c r="O249" s="143" t="s">
        <v>46</v>
      </c>
      <c r="P249" s="143" t="s">
        <v>47</v>
      </c>
      <c r="Q249" s="143" t="s">
        <v>62</v>
      </c>
    </row>
    <row r="250" spans="1:18" x14ac:dyDescent="0.25">
      <c r="A250"/>
      <c r="B250"/>
      <c r="C250"/>
      <c r="E250"/>
      <c r="F250"/>
      <c r="I250"/>
      <c r="J250" s="1"/>
      <c r="K250"/>
      <c r="L250"/>
      <c r="M250" s="63" t="s">
        <v>18</v>
      </c>
      <c r="N250" s="66">
        <f>P244+'WANDER IKAT'!P258+'HEART PARADE'!P238+'ANTIQUE ROSE'!P208</f>
        <v>215234</v>
      </c>
      <c r="O250" s="144">
        <v>95082</v>
      </c>
      <c r="P250" s="145">
        <f>P123+'WANDER IKAT'!P120+'HEART PARADE'!P112+'ANTIQUE ROSE'!P98</f>
        <v>60076</v>
      </c>
      <c r="Q250" s="145">
        <f>P196+'WANDER IKAT'!P193+'HEART PARADE'!P181+'ANTIQUE ROSE'!P158</f>
        <v>60076</v>
      </c>
    </row>
    <row r="251" spans="1:18" x14ac:dyDescent="0.25">
      <c r="A251"/>
      <c r="B251"/>
      <c r="C251"/>
      <c r="E251"/>
      <c r="F251"/>
      <c r="I251"/>
      <c r="J251" s="1"/>
      <c r="K251"/>
      <c r="L251"/>
      <c r="M251" s="63" t="s">
        <v>19</v>
      </c>
      <c r="N251" s="66">
        <f>P245+'WANDER IKAT'!P259+'HEART PARADE'!P239+'ANTIQUE ROSE'!P209</f>
        <v>194026</v>
      </c>
      <c r="O251" s="146">
        <f>SUM(N251)-SUM(P251:Q251)</f>
        <v>92265</v>
      </c>
      <c r="P251" s="144">
        <f>P192+'WANDER IKAT'!P189+'HEART PARADE'!P177+'ANTIQUE ROSE'!P154</f>
        <v>60674</v>
      </c>
      <c r="Q251" s="144">
        <f>P236+'WANDER IKAT'!P250+'HEART PARADE'!P230+'ANTIQUE ROSE'!P200</f>
        <v>41087</v>
      </c>
    </row>
    <row r="252" spans="1:18" x14ac:dyDescent="0.25">
      <c r="A252"/>
      <c r="B252"/>
      <c r="C252"/>
      <c r="E252"/>
      <c r="F252"/>
      <c r="I252"/>
      <c r="J252" s="1"/>
      <c r="K252"/>
      <c r="L252"/>
      <c r="M252" s="64" t="s">
        <v>20</v>
      </c>
      <c r="N252" s="66">
        <f>N251-N250</f>
        <v>-21208</v>
      </c>
      <c r="O252" s="66">
        <f>O251-O250</f>
        <v>-2817</v>
      </c>
      <c r="P252" s="66">
        <f>P251-P250</f>
        <v>598</v>
      </c>
      <c r="Q252" s="66">
        <f>Q251-Q250</f>
        <v>-18989</v>
      </c>
    </row>
    <row r="253" spans="1:18" x14ac:dyDescent="0.25">
      <c r="A253"/>
      <c r="B253"/>
      <c r="C253"/>
      <c r="E253"/>
      <c r="F253"/>
      <c r="I253"/>
      <c r="K253"/>
      <c r="L253"/>
      <c r="M253" s="65" t="s">
        <v>21</v>
      </c>
      <c r="N253" s="68">
        <f>N252/N250</f>
        <v>-9.853461813653977E-2</v>
      </c>
      <c r="O253" s="68">
        <f>O252/O250</f>
        <v>-2.9627058749290086E-2</v>
      </c>
      <c r="P253" s="68">
        <f>P252/P250</f>
        <v>9.954058192955589E-3</v>
      </c>
      <c r="Q253" s="68">
        <f>Q252/Q250</f>
        <v>-0.31608296158199611</v>
      </c>
    </row>
    <row r="256" spans="1:18" x14ac:dyDescent="0.25">
      <c r="G256" s="69"/>
      <c r="H256" s="69"/>
      <c r="I256" s="69"/>
      <c r="J256" s="69"/>
      <c r="K256" s="69"/>
      <c r="L256" s="69"/>
      <c r="M256" s="69"/>
      <c r="N256" s="69"/>
      <c r="O256" s="69"/>
      <c r="P256" s="69"/>
    </row>
    <row r="257" spans="7:17" x14ac:dyDescent="0.25">
      <c r="G257" s="69"/>
      <c r="H257" s="69"/>
      <c r="I257" s="69"/>
      <c r="J257" s="69"/>
      <c r="K257" s="69"/>
      <c r="L257" s="69"/>
      <c r="M257" s="69"/>
      <c r="N257" s="69"/>
      <c r="O257" s="69"/>
      <c r="P257" s="69"/>
    </row>
    <row r="258" spans="7:17" x14ac:dyDescent="0.25">
      <c r="G258" s="69"/>
      <c r="H258" s="69"/>
      <c r="I258" s="69"/>
      <c r="J258" s="69"/>
      <c r="K258" s="69"/>
      <c r="L258" s="69"/>
      <c r="M258" s="69"/>
      <c r="N258" s="69"/>
      <c r="O258" s="69"/>
      <c r="P258" s="69"/>
    </row>
    <row r="259" spans="7:17" x14ac:dyDescent="0.25">
      <c r="G259" s="69"/>
      <c r="H259" s="69"/>
      <c r="I259" s="69"/>
      <c r="J259" s="69"/>
      <c r="K259" s="69"/>
      <c r="L259" s="69"/>
      <c r="M259" s="69"/>
      <c r="N259" s="69"/>
      <c r="O259" s="69"/>
      <c r="P259" s="69"/>
    </row>
    <row r="260" spans="7:17" x14ac:dyDescent="0.25">
      <c r="K260" s="69"/>
      <c r="L260" s="69"/>
      <c r="M260" s="69"/>
      <c r="N260" s="69"/>
      <c r="O260" s="69"/>
      <c r="P260" s="69"/>
    </row>
    <row r="267" spans="7:17" x14ac:dyDescent="0.25">
      <c r="J267" s="43"/>
      <c r="K267"/>
      <c r="L267"/>
      <c r="M267"/>
      <c r="N267"/>
      <c r="O267"/>
      <c r="P267"/>
      <c r="Q267"/>
    </row>
    <row r="268" spans="7:17" x14ac:dyDescent="0.25">
      <c r="J268" s="43"/>
      <c r="K268"/>
      <c r="L268"/>
      <c r="M268"/>
      <c r="N268"/>
      <c r="O268"/>
      <c r="P268"/>
      <c r="Q268"/>
    </row>
    <row r="269" spans="7:17" x14ac:dyDescent="0.25">
      <c r="J269" s="43"/>
      <c r="K269"/>
      <c r="L269"/>
      <c r="M269"/>
      <c r="N269"/>
      <c r="O269"/>
      <c r="P269"/>
      <c r="Q269"/>
    </row>
  </sheetData>
  <mergeCells count="1">
    <mergeCell ref="Q247:R247"/>
  </mergeCells>
  <conditionalFormatting sqref="K41:P41">
    <cfRule type="cellIs" dxfId="7" priority="115" operator="lessThan">
      <formula>0</formula>
    </cfRule>
    <cfRule type="cellIs" dxfId="6" priority="116" operator="greaterThan">
      <formula>0</formula>
    </cfRule>
  </conditionalFormatting>
  <conditionalFormatting sqref="K120:P121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K193:P194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K237:P237">
    <cfRule type="cellIs" dxfId="1" priority="3" operator="lessThan">
      <formula>0</formula>
    </cfRule>
    <cfRule type="cellIs" dxfId="0" priority="4" operator="greaterThan">
      <formula>0</formula>
    </cfRule>
  </conditionalFormatting>
  <printOptions horizontalCentered="1" verticalCentered="1"/>
  <pageMargins left="0.25" right="0.25" top="0" bottom="0" header="0.3" footer="0.75"/>
  <pageSetup paperSize="9" scale="41" fitToHeight="0" orientation="landscape" r:id="rId1"/>
  <rowBreaks count="3" manualBreakCount="3">
    <brk id="42" max="17" man="1"/>
    <brk id="121" max="17" man="1"/>
    <brk id="194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1ST ORDER</vt:lpstr>
      <vt:lpstr>2ND ORDER</vt:lpstr>
      <vt:lpstr>ANTIQUE ROSE</vt:lpstr>
      <vt:lpstr>HEART PARADE</vt:lpstr>
      <vt:lpstr>WANDER IKAT</vt:lpstr>
      <vt:lpstr>WILD ONE</vt:lpstr>
      <vt:lpstr>1ST ORDER!Print_Area</vt:lpstr>
      <vt:lpstr>2ND ORDER!Print_Area</vt:lpstr>
      <vt:lpstr>ANTIQUE ROSE!Print_Area</vt:lpstr>
      <vt:lpstr>HEART PARADE!Print_Area</vt:lpstr>
      <vt:lpstr>WANDER IKAT!Print_Area</vt:lpstr>
      <vt:lpstr>WILD ONE!Print_Area</vt:lpstr>
      <vt:lpstr>ANTIQUE ROSE!Print_Titles</vt:lpstr>
      <vt:lpstr>HEART PARADE!Print_Titles</vt:lpstr>
      <vt:lpstr>WANDER IKAT!Print_Titles</vt:lpstr>
      <vt:lpstr>WILD ONE!Print_Titles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Touhid</dc:creator>
  <cp:lastModifiedBy>Omar Faruk khokon</cp:lastModifiedBy>
  <cp:lastPrinted>2026-06-28T04:25:29Z</cp:lastPrinted>
  <dcterms:created xsi:type="dcterms:W3CDTF">2015-03-17T08:55:42Z</dcterms:created>
  <dcterms:modified xsi:type="dcterms:W3CDTF">2026-06-29T09:43:40Z</dcterms:modified>
</cp:coreProperties>
</file>